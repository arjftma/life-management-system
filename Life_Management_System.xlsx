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tabRatio="500" firstSheet="16" activeTab="19"/>
  </bookViews>
  <sheets>
    <sheet name="🔐 START" sheetId="1" r:id="rId1"/>
    <sheet name="🏠 HOME" sheetId="2" r:id="rId2"/>
    <sheet name="SETUP" sheetId="3" r:id="rId3"/>
    <sheet name="DASHBOARD" sheetId="4" r:id="rId4"/>
    <sheet name="INCOME" sheetId="5" r:id="rId5"/>
    <sheet name="EXPENSES" sheetId="6" r:id="rId6"/>
    <sheet name="BUDGET" sheetId="7" r:id="rId7"/>
    <sheet name="RECURRING" sheetId="8" r:id="rId8"/>
    <sheet name="WEALTH" sheetId="9" r:id="rId9"/>
    <sheet name="INVESTMENTS" sheetId="10" r:id="rId10"/>
    <sheet name="NET WORTH" sheetId="11" r:id="rId11"/>
    <sheet name="GOALS" sheetId="12" r:id="rId12"/>
    <sheet name="HABITS" sheetId="13" r:id="rId13"/>
    <sheet name="CALENDAR" sheetId="14" r:id="rId14"/>
    <sheet name="WEEKLY PLAN" sheetId="15" r:id="rId15"/>
    <sheet name="TASKS" sheetId="16" r:id="rId16"/>
    <sheet name="PRIORITY" sheetId="17" r:id="rId17"/>
    <sheet name="HEALTH" sheetId="18" r:id="rId18"/>
    <sheet name="MEALS" sheetId="19" r:id="rId19"/>
    <sheet name="ANALYTICS" sheetId="20" r:id="rId20"/>
    <sheet name="USER GUIDE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<sst xmlns="http://schemas.openxmlformats.org/spreadsheetml/2006/main" count="1774" uniqueCount="879">
  <si>
    <t>🏠  LIFE MANAGEMENT DASHBOARD</t>
  </si>
  <si>
    <t>Your Complete Personal Operating System</t>
  </si>
  <si>
    <t xml:space="preserve">  🔒  ENTER PASSWORD TO ACCESS</t>
  </si>
  <si>
    <t xml:space="preserve">  Type your password in the yellow cell below and press Enter</t>
  </si>
  <si>
    <t xml:space="preserve">  Default password:  life2025</t>
  </si>
  <si>
    <t xml:space="preserve">  After entering the correct password, click the 🏠 HOME tab below</t>
  </si>
  <si>
    <t xml:space="preserve">  WHAT'S INSIDE THIS WORKBOOK</t>
  </si>
  <si>
    <t>💰 Financial Tracking</t>
  </si>
  <si>
    <t>🎯 Goal Management</t>
  </si>
  <si>
    <t>✅ Habit Tracker</t>
  </si>
  <si>
    <t>Income, Expenses, Budget, Recurring Bills</t>
  </si>
  <si>
    <t>Track 12+ goals with progress bars</t>
  </si>
  <si>
    <t>31-day daily grid with streaks &amp; charts</t>
  </si>
  <si>
    <t>📝 Task Management</t>
  </si>
  <si>
    <t>🏃 Health &amp; Wellness</t>
  </si>
  <si>
    <t>📊 Analytics</t>
  </si>
  <si>
    <t>Kanban board + Eisenhower priority matrix</t>
  </si>
  <si>
    <t>Weight, sleep, mood, exercise trends</t>
  </si>
  <si>
    <t>Live KPIs + 6-month performance charts</t>
  </si>
  <si>
    <t>Life Management Dashboard  •  v2.0  •  20 Modules  •  244+ Formulas</t>
  </si>
  <si>
    <t>🏠  LIFE MANAGEMENT DASHBOARD  —  Navigation Hub</t>
  </si>
  <si>
    <t xml:space="preserve">  Click any card below to jump to that module  •  All data is live and connected</t>
  </si>
  <si>
    <t xml:space="preserve">  ⚙️  SETUP</t>
  </si>
  <si>
    <t xml:space="preserve">  📊  DASHBOARD</t>
  </si>
  <si>
    <t xml:space="preserve">  📥  INCOME</t>
  </si>
  <si>
    <t xml:space="preserve">  📤  EXPENSES</t>
  </si>
  <si>
    <t xml:space="preserve">  Configure categories &amp; dropdowns</t>
  </si>
  <si>
    <t xml:space="preserve">  Live KPIs — income, goals, habits</t>
  </si>
  <si>
    <t xml:space="preserve">  Log all income sources</t>
  </si>
  <si>
    <t xml:space="preserve">  Track every expense + categories</t>
  </si>
  <si>
    <t xml:space="preserve">  → Click tab: SETUP</t>
  </si>
  <si>
    <t xml:space="preserve">  → Click tab: DASHBOARD</t>
  </si>
  <si>
    <t xml:space="preserve">  → Click tab: INCOME</t>
  </si>
  <si>
    <t xml:space="preserve">  → Click tab: EXPENSES</t>
  </si>
  <si>
    <t xml:space="preserve">  📋  BUDGET</t>
  </si>
  <si>
    <t xml:space="preserve">  💼  WEALTH</t>
  </si>
  <si>
    <t xml:space="preserve">  📈  INVESTMENTS</t>
  </si>
  <si>
    <t xml:space="preserve">  🔄  RECURRING</t>
  </si>
  <si>
    <t xml:space="preserve">  Monthly budget vs actual analysis</t>
  </si>
  <si>
    <t xml:space="preserve">  Savings · Debt · Net Worth</t>
  </si>
  <si>
    <t xml:space="preserve">  Portfolio + compound growth forecast</t>
  </si>
  <si>
    <t xml:space="preserve">  Subscriptions &amp; recurring bills</t>
  </si>
  <si>
    <t xml:space="preserve">  → Click tab: BUDGET</t>
  </si>
  <si>
    <t xml:space="preserve">  → Click tab: WEALTH</t>
  </si>
  <si>
    <t xml:space="preserve">  → Click tab: INVESTMENTS</t>
  </si>
  <si>
    <t xml:space="preserve">  → Click tab: RECURRING</t>
  </si>
  <si>
    <t xml:space="preserve">  🎯  GOALS</t>
  </si>
  <si>
    <t xml:space="preserve">  ✅  HABITS</t>
  </si>
  <si>
    <t xml:space="preserve">  🗓️  CALENDAR</t>
  </si>
  <si>
    <t xml:space="preserve">  ⏰  WEEKLY PLAN</t>
  </si>
  <si>
    <t xml:space="preserve">  Track 12 goals with progress %</t>
  </si>
  <si>
    <t xml:space="preserve">  31-day daily habit grid + streaks</t>
  </si>
  <si>
    <t xml:space="preserve">  Monthly calendar + weekly planner</t>
  </si>
  <si>
    <t xml:space="preserve">  Hour-by-hour weekly schedule</t>
  </si>
  <si>
    <t xml:space="preserve">  → Click tab: GOALS</t>
  </si>
  <si>
    <t xml:space="preserve">  → Click tab: HABITS</t>
  </si>
  <si>
    <t xml:space="preserve">  → Click tab: CALENDAR</t>
  </si>
  <si>
    <t xml:space="preserve">  → Click tab: WEEKLY PLAN</t>
  </si>
  <si>
    <t xml:space="preserve">  📝  TASKS</t>
  </si>
  <si>
    <t xml:space="preserve">  ⚡  PRIORITY</t>
  </si>
  <si>
    <t xml:space="preserve">  💰  NET WORTH</t>
  </si>
  <si>
    <t xml:space="preserve">  🏃  HEALTH</t>
  </si>
  <si>
    <t xml:space="preserve">  Task list with priority &amp; status</t>
  </si>
  <si>
    <t xml:space="preserve">  Eisenhower Matrix + Kanban board</t>
  </si>
  <si>
    <t xml:space="preserve">  Assets vs liabilities over time</t>
  </si>
  <si>
    <t xml:space="preserve">  Weight · Sleep · Mood · Exercise</t>
  </si>
  <si>
    <t xml:space="preserve">  → Click tab: TASKS</t>
  </si>
  <si>
    <t xml:space="preserve">  → Click tab: PRIORITY</t>
  </si>
  <si>
    <t xml:space="preserve">  → Click tab: NET WORTH</t>
  </si>
  <si>
    <t xml:space="preserve">  → Click tab: HEALTH</t>
  </si>
  <si>
    <t xml:space="preserve">  🍽️  MEALS</t>
  </si>
  <si>
    <t xml:space="preserve">  📊  ANALYTICS</t>
  </si>
  <si>
    <t xml:space="preserve">  📖  USER GUIDE</t>
  </si>
  <si>
    <t xml:space="preserve">  Meal planner + grocery list</t>
  </si>
  <si>
    <t xml:space="preserve">  6-month performance trend charts</t>
  </si>
  <si>
    <t xml:space="preserve">  How to use this workbook</t>
  </si>
  <si>
    <t xml:space="preserve">  → Click tab: MEALS</t>
  </si>
  <si>
    <t xml:space="preserve">  → Click tab: ANALYTICS</t>
  </si>
  <si>
    <t xml:space="preserve">  → Click tab: USER GUIDE</t>
  </si>
  <si>
    <t xml:space="preserve">  📊  LIVE SNAPSHOT  —  Key numbers from across the workbook</t>
  </si>
  <si>
    <t>Total Income</t>
  </si>
  <si>
    <t>Total Expenses</t>
  </si>
  <si>
    <t>Active Goals</t>
  </si>
  <si>
    <t>Tasks Done</t>
  </si>
  <si>
    <t>⚙️  SYSTEM SETUP  —  Edit category lists here (used by all dropdowns)</t>
  </si>
  <si>
    <t xml:space="preserve">  These lists power every dropdown in the workbook. Expand any list by adding rows below.</t>
  </si>
  <si>
    <t>Expense Categories</t>
  </si>
  <si>
    <t>Income Sources</t>
  </si>
  <si>
    <t>Goal Types</t>
  </si>
  <si>
    <t>Habit Categories</t>
  </si>
  <si>
    <t>Task Categories</t>
  </si>
  <si>
    <t>Priority Levels</t>
  </si>
  <si>
    <t>Status Options</t>
  </si>
  <si>
    <t>Frequency Options</t>
  </si>
  <si>
    <t>Housing</t>
  </si>
  <si>
    <t>Salary</t>
  </si>
  <si>
    <t>Financial</t>
  </si>
  <si>
    <t>Health</t>
  </si>
  <si>
    <t>Work</t>
  </si>
  <si>
    <t>Critical</t>
  </si>
  <si>
    <t>Not Started</t>
  </si>
  <si>
    <t>Daily</t>
  </si>
  <si>
    <t>Food &amp; Dining</t>
  </si>
  <si>
    <t>Freelance</t>
  </si>
  <si>
    <t>Health &amp; Fitness</t>
  </si>
  <si>
    <t>Fitness</t>
  </si>
  <si>
    <t>Personal</t>
  </si>
  <si>
    <t>High</t>
  </si>
  <si>
    <t>In Progress</t>
  </si>
  <si>
    <t>Weekly</t>
  </si>
  <si>
    <t>Transportation</t>
  </si>
  <si>
    <t>Business</t>
  </si>
  <si>
    <t>Career</t>
  </si>
  <si>
    <t>Learning</t>
  </si>
  <si>
    <t>Medium</t>
  </si>
  <si>
    <t>Completed</t>
  </si>
  <si>
    <t>Bi-Weekly</t>
  </si>
  <si>
    <t>Healthcare</t>
  </si>
  <si>
    <t>Investments</t>
  </si>
  <si>
    <t>Personal Development</t>
  </si>
  <si>
    <t>Mindfulness</t>
  </si>
  <si>
    <t>Finance</t>
  </si>
  <si>
    <t>Low</t>
  </si>
  <si>
    <t>On Hold</t>
  </si>
  <si>
    <t>Monthly</t>
  </si>
  <si>
    <t>Entertainment</t>
  </si>
  <si>
    <t>Rental</t>
  </si>
  <si>
    <t>Relationships</t>
  </si>
  <si>
    <t>Productivity</t>
  </si>
  <si>
    <t>Home</t>
  </si>
  <si>
    <t>Someday</t>
  </si>
  <si>
    <t>Cancelled</t>
  </si>
  <si>
    <t>Quarterly</t>
  </si>
  <si>
    <t>Shopping</t>
  </si>
  <si>
    <t>Side Hustle</t>
  </si>
  <si>
    <t>Travel</t>
  </si>
  <si>
    <t>Social</t>
  </si>
  <si>
    <t>Annually</t>
  </si>
  <si>
    <t>Education</t>
  </si>
  <si>
    <t>Bonus</t>
  </si>
  <si>
    <t>Utilities</t>
  </si>
  <si>
    <t>Gifts</t>
  </si>
  <si>
    <t>Hobbies</t>
  </si>
  <si>
    <t>Creativity</t>
  </si>
  <si>
    <t>Project</t>
  </si>
  <si>
    <t>Insurance</t>
  </si>
  <si>
    <t>Other</t>
  </si>
  <si>
    <t>Sleep</t>
  </si>
  <si>
    <t>Errands</t>
  </si>
  <si>
    <t>Personal Care</t>
  </si>
  <si>
    <t>Nutrition</t>
  </si>
  <si>
    <t>Subscriptions</t>
  </si>
  <si>
    <t>Savings</t>
  </si>
  <si>
    <t>Debt Payment</t>
  </si>
  <si>
    <t>📊  EXECUTIVE DASHBOARD  —  Live overview from all modules</t>
  </si>
  <si>
    <t xml:space="preserve">  All values auto-calculate from data entered in other sheets. No manual entry needed here.</t>
  </si>
  <si>
    <t>💰  FINANCIAL SNAPSHOT</t>
  </si>
  <si>
    <t>Monthly Income</t>
  </si>
  <si>
    <t>Monthly Expenses</t>
  </si>
  <si>
    <t>Net Savings</t>
  </si>
  <si>
    <t>Savings Rate</t>
  </si>
  <si>
    <t>🎯  GOALS &amp; PRODUCTIVITY</t>
  </si>
  <si>
    <t>Goals Completed</t>
  </si>
  <si>
    <t>Tasks Completed</t>
  </si>
  <si>
    <t>Habit Completion</t>
  </si>
  <si>
    <t>🏃  HEALTH SNAPSHOT</t>
  </si>
  <si>
    <t>Avg Weight (lbs)</t>
  </si>
  <si>
    <t>Avg Sleep (hrs)</t>
  </si>
  <si>
    <t>Avg Mood (1-10)</t>
  </si>
  <si>
    <t>Exercise Days</t>
  </si>
  <si>
    <t>📈  MONTHLY TREND DATA  (Income · Expenses · Savings · Net Worth)</t>
  </si>
  <si>
    <t>Month</t>
  </si>
  <si>
    <t>Income</t>
  </si>
  <si>
    <t>Expenses</t>
  </si>
  <si>
    <t>Net Worth</t>
  </si>
  <si>
    <t>Jan 2025</t>
  </si>
  <si>
    <t>Feb 2025</t>
  </si>
  <si>
    <t>Mar 2025</t>
  </si>
  <si>
    <t>Apr 2025</t>
  </si>
  <si>
    <t>May 2025</t>
  </si>
  <si>
    <t>Jun 2025</t>
  </si>
  <si>
    <t>📥  INCOME TRACKER  —  Log all income sources</t>
  </si>
  <si>
    <t xml:space="preserve">  Category dropdown auto-validates. Amount feeds Dashboard &amp; Budget sheets.</t>
  </si>
  <si>
    <t>#</t>
  </si>
  <si>
    <t>Date</t>
  </si>
  <si>
    <t>Description</t>
  </si>
  <si>
    <t>Category</t>
  </si>
  <si>
    <t>Amount</t>
  </si>
  <si>
    <t>Account</t>
  </si>
  <si>
    <t>Tax Status</t>
  </si>
  <si>
    <t>Notes</t>
  </si>
  <si>
    <t>2025-01-01</t>
  </si>
  <si>
    <t>Monthly Salary — January</t>
  </si>
  <si>
    <t>Chase Checking</t>
  </si>
  <si>
    <t>Taxable</t>
  </si>
  <si>
    <t>Regular paycheck</t>
  </si>
  <si>
    <t>2025-01-08</t>
  </si>
  <si>
    <t>Web Design — Client A</t>
  </si>
  <si>
    <t>Self-Employed</t>
  </si>
  <si>
    <t>Invoice #001</t>
  </si>
  <si>
    <t>2025-01-10</t>
  </si>
  <si>
    <t>Dividend — Fidelity Portfolio</t>
  </si>
  <si>
    <t>Fidelity Broker</t>
  </si>
  <si>
    <t>Q4 dividends</t>
  </si>
  <si>
    <t>2025-01-14</t>
  </si>
  <si>
    <t>Side Project Referral Fee</t>
  </si>
  <si>
    <t>2025-02-01</t>
  </si>
  <si>
    <t>Monthly Salary — February</t>
  </si>
  <si>
    <t>2025-02-12</t>
  </si>
  <si>
    <t>Freelance Writing — Blog</t>
  </si>
  <si>
    <t>Client B</t>
  </si>
  <si>
    <t>2025-02-18</t>
  </si>
  <si>
    <t>Stock Sale Proceeds</t>
  </si>
  <si>
    <t>AAPL partial</t>
  </si>
  <si>
    <t>2025-03-01</t>
  </si>
  <si>
    <t>Monthly Salary — March</t>
  </si>
  <si>
    <t>2025-03-05</t>
  </si>
  <si>
    <t>Q1 Performance Bonus</t>
  </si>
  <si>
    <t>Q1 review</t>
  </si>
  <si>
    <t>2025-03-15</t>
  </si>
  <si>
    <t>Freelance Design — Logo Pack</t>
  </si>
  <si>
    <t>Client C</t>
  </si>
  <si>
    <t>2025-04-01</t>
  </si>
  <si>
    <t>Monthly Salary — April</t>
  </si>
  <si>
    <t>2025-04-20</t>
  </si>
  <si>
    <t>Rental Sublease Income</t>
  </si>
  <si>
    <t>Short-term</t>
  </si>
  <si>
    <t>2025-05-01</t>
  </si>
  <si>
    <t>Monthly Salary — May</t>
  </si>
  <si>
    <t>Raise effective</t>
  </si>
  <si>
    <t>2025-05-10</t>
  </si>
  <si>
    <t>Online Course Sales</t>
  </si>
  <si>
    <t>PayPal</t>
  </si>
  <si>
    <t>Gumroad</t>
  </si>
  <si>
    <t>2025-06-01</t>
  </si>
  <si>
    <t>Monthly Salary — June</t>
  </si>
  <si>
    <t>TOTAL INCOME</t>
  </si>
  <si>
    <t>Total</t>
  </si>
  <si>
    <t>% of Total</t>
  </si>
  <si>
    <t># Transactions</t>
  </si>
  <si>
    <t>📤  EXPENSE TRACKER  —  Log every expense</t>
  </si>
  <si>
    <t xml:space="preserve">  Category dropdown links to SETUP. Totals feed Budget &amp; Analytics automatically.</t>
  </si>
  <si>
    <t>Payment Method</t>
  </si>
  <si>
    <t>2025-01-02</t>
  </si>
  <si>
    <t>Rent — January</t>
  </si>
  <si>
    <t>Bank Transfer</t>
  </si>
  <si>
    <t>Monthly rent</t>
  </si>
  <si>
    <t>2025-01-03</t>
  </si>
  <si>
    <t>Whole Foods Groceries</t>
  </si>
  <si>
    <t>Debit Card</t>
  </si>
  <si>
    <t>Weekly shop</t>
  </si>
  <si>
    <t>2025-01-04</t>
  </si>
  <si>
    <t>Netflix</t>
  </si>
  <si>
    <t>Credit Card</t>
  </si>
  <si>
    <t>Citi Rewards</t>
  </si>
  <si>
    <t>2025-01-05</t>
  </si>
  <si>
    <t>Gas — Shell</t>
  </si>
  <si>
    <t>Full tank</t>
  </si>
  <si>
    <t>2025-01-06</t>
  </si>
  <si>
    <t>Gym — Equinox</t>
  </si>
  <si>
    <t>Dinner — Nobu</t>
  </si>
  <si>
    <t>Date night</t>
  </si>
  <si>
    <t>Electric Bill</t>
  </si>
  <si>
    <t>2025-01-12</t>
  </si>
  <si>
    <t>Amazon — Books</t>
  </si>
  <si>
    <t>3 books</t>
  </si>
  <si>
    <t>2025-01-15</t>
  </si>
  <si>
    <t>Car Insurance — Geico</t>
  </si>
  <si>
    <t>2025-01-16</t>
  </si>
  <si>
    <t>Uber Rides</t>
  </si>
  <si>
    <t>5 rides</t>
  </si>
  <si>
    <t>2025-01-18</t>
  </si>
  <si>
    <t>Spotify</t>
  </si>
  <si>
    <t>2025-01-20</t>
  </si>
  <si>
    <t>Trader Joe's Groceries</t>
  </si>
  <si>
    <t>2025-01-22</t>
  </si>
  <si>
    <t>Phone Bill — Verizon</t>
  </si>
  <si>
    <t>2025-01-25</t>
  </si>
  <si>
    <t>Clothing — Banana Republic</t>
  </si>
  <si>
    <t>Work clothes</t>
  </si>
  <si>
    <t>2025-01-28</t>
  </si>
  <si>
    <t>Internet — Comcast</t>
  </si>
  <si>
    <t>2025-02-02</t>
  </si>
  <si>
    <t>Rent — February</t>
  </si>
  <si>
    <t>2025-02-05</t>
  </si>
  <si>
    <t>2025-02-08</t>
  </si>
  <si>
    <t>Gym</t>
  </si>
  <si>
    <t>2025-02-10</t>
  </si>
  <si>
    <t>Dentist Visit</t>
  </si>
  <si>
    <t>Cleaning</t>
  </si>
  <si>
    <t>2025-02-14</t>
  </si>
  <si>
    <t>Valentine's Dinner</t>
  </si>
  <si>
    <t>2025-02-15</t>
  </si>
  <si>
    <t>Car Insurance</t>
  </si>
  <si>
    <t>Udemy Course</t>
  </si>
  <si>
    <t>Python course</t>
  </si>
  <si>
    <t>2025-02-20</t>
  </si>
  <si>
    <t>Gas</t>
  </si>
  <si>
    <t>2025-03-02</t>
  </si>
  <si>
    <t>Rent — March</t>
  </si>
  <si>
    <t>2025-03-06</t>
  </si>
  <si>
    <t>Groceries</t>
  </si>
  <si>
    <t>TOTAL EXPENSES</t>
  </si>
  <si>
    <t>📊  SPENDING BY CATEGORY</t>
  </si>
  <si>
    <t>Total Spent</t>
  </si>
  <si>
    <t>Monthly Budget</t>
  </si>
  <si>
    <t>Over/Under</t>
  </si>
  <si>
    <t>📋  BUDGET PLANNER  —  Monthly Budget vs Actual (Q1 2025)</t>
  </si>
  <si>
    <t xml:space="preserve">  Set monthly budgets below. Green = On Track ✅, Red = Over Budget ⚠️</t>
  </si>
  <si>
    <t>Jan Actual</t>
  </si>
  <si>
    <t>Feb Actual</t>
  </si>
  <si>
    <t>Mar Actual</t>
  </si>
  <si>
    <t>YTD Spent</t>
  </si>
  <si>
    <t>Status</t>
  </si>
  <si>
    <t>TOTALS</t>
  </si>
  <si>
    <t>📊  Q1 BUDGET vs ACTUAL COMPARISON</t>
  </si>
  <si>
    <t>Q1 Budget</t>
  </si>
  <si>
    <t>Q1 Actual</t>
  </si>
  <si>
    <t>Variance</t>
  </si>
  <si>
    <t>% Used</t>
  </si>
  <si>
    <t>🔄  RECURRING TRANSACTIONS  —  Subscriptions &amp; Bills</t>
  </si>
  <si>
    <t xml:space="preserve">  Track all fixed monthly costs. Annual cost auto-calculates. Active = Yes/No.</t>
  </si>
  <si>
    <t>Frequency</t>
  </si>
  <si>
    <t>Next Due</t>
  </si>
  <si>
    <t>Auto-Pay</t>
  </si>
  <si>
    <t>Active</t>
  </si>
  <si>
    <t>Annual Cost</t>
  </si>
  <si>
    <t>Rent</t>
  </si>
  <si>
    <t>No</t>
  </si>
  <si>
    <t>Yes</t>
  </si>
  <si>
    <t>Phone — Verizon</t>
  </si>
  <si>
    <t>Amazon Prime</t>
  </si>
  <si>
    <t>Adobe Creative Cloud</t>
  </si>
  <si>
    <t>Health Insurance</t>
  </si>
  <si>
    <t>Hulu</t>
  </si>
  <si>
    <t>MONTHLY TOTAL (Active)</t>
  </si>
  <si>
    <t>💼  WEALTH BUILDING  —  Savings Goals · Debt Tracker</t>
  </si>
  <si>
    <t>💰  SAVINGS GOALS TRACKER</t>
  </si>
  <si>
    <t>Goal Name</t>
  </si>
  <si>
    <t>Target ($)</t>
  </si>
  <si>
    <t>Saved ($)</t>
  </si>
  <si>
    <t>% Done</t>
  </si>
  <si>
    <t>Monthly $</t>
  </si>
  <si>
    <t>Months Left</t>
  </si>
  <si>
    <t>Target Date</t>
  </si>
  <si>
    <t>Progress Bar</t>
  </si>
  <si>
    <t>Emergency Fund</t>
  </si>
  <si>
    <t>Europe Vacation</t>
  </si>
  <si>
    <t>2025-09-01</t>
  </si>
  <si>
    <t>New MacBook Pro</t>
  </si>
  <si>
    <t>Down Payment Fund</t>
  </si>
  <si>
    <t>2027-01-01</t>
  </si>
  <si>
    <t>Wedding Fund</t>
  </si>
  <si>
    <t>2026-06-01</t>
  </si>
  <si>
    <t>💳  DEBT PAYOFF TRACKER</t>
  </si>
  <si>
    <t>Debt Name</t>
  </si>
  <si>
    <t>Original Balance</t>
  </si>
  <si>
    <t>Current Balance</t>
  </si>
  <si>
    <t>Interest Rate</t>
  </si>
  <si>
    <t>Min Payment</t>
  </si>
  <si>
    <t>Extra Pmt</t>
  </si>
  <si>
    <t>Monthly Total</t>
  </si>
  <si>
    <t>Payoff Est.</t>
  </si>
  <si>
    <t>Citi Credit Card</t>
  </si>
  <si>
    <t>Federal Student Loan</t>
  </si>
  <si>
    <t>Auto Loan — Honda</t>
  </si>
  <si>
    <t>TOTAL DEBT</t>
  </si>
  <si>
    <t>📈  INVESTMENT PORTFOLIO  —  Holdings &amp; Compound Growth Forecast</t>
  </si>
  <si>
    <t xml:space="preserve">  Update Current Price to refresh all gain/loss and portfolio % calculations.</t>
  </si>
  <si>
    <t>Ticker</t>
  </si>
  <si>
    <t>Type</t>
  </si>
  <si>
    <t>Shares</t>
  </si>
  <si>
    <t>Buy Price</t>
  </si>
  <si>
    <t>Current Price</t>
  </si>
  <si>
    <t>Current Value</t>
  </si>
  <si>
    <t>Gain/Loss</t>
  </si>
  <si>
    <t>% Return</t>
  </si>
  <si>
    <t>Portfolio %</t>
  </si>
  <si>
    <t>AAPL</t>
  </si>
  <si>
    <t>Stock</t>
  </si>
  <si>
    <t>VOO</t>
  </si>
  <si>
    <t>ETF</t>
  </si>
  <si>
    <t>BND</t>
  </si>
  <si>
    <t>MSFT</t>
  </si>
  <si>
    <t>GOOGL</t>
  </si>
  <si>
    <t>VNQ</t>
  </si>
  <si>
    <t>PORTFOLIO TOTAL</t>
  </si>
  <si>
    <t>🔮  COMPOUND GROWTH FORECAST (10-Year Projection)</t>
  </si>
  <si>
    <t>Current Portfolio Value</t>
  </si>
  <si>
    <t>Monthly Contribution ($)</t>
  </si>
  <si>
    <t>Annual Return Rate (%)</t>
  </si>
  <si>
    <t>Year</t>
  </si>
  <si>
    <t>Conservative (5%)</t>
  </si>
  <si>
    <t>Base Case (7%)</t>
  </si>
  <si>
    <t>Aggressive (10%)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</si>
  <si>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</si>
  <si>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</si>
  <si>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</si>
  <si>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</si>
  <si>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</si>
  <si>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</si>
  <si>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</si>
  <si>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</si>
  <si>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</si>
  <si>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</si>
  <si>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💰  NET WORTH TRACKER  —  Assets · Liabilities · Historical Trend</t>
  </si>
  <si>
    <t>🏦  ASSETS &amp; LIABILITIES SNAPSHOT</t>
  </si>
  <si>
    <t>Item</t>
  </si>
  <si>
    <t>Value ($)</t>
  </si>
  <si>
    <t>Cash</t>
  </si>
  <si>
    <t>Asset</t>
  </si>
  <si>
    <t>Marcus HYSA</t>
  </si>
  <si>
    <t>Fidelity Investment</t>
  </si>
  <si>
    <t>Roth IRA</t>
  </si>
  <si>
    <t>Retirement</t>
  </si>
  <si>
    <t>Honda Civic (KBB)</t>
  </si>
  <si>
    <t>Vehicle</t>
  </si>
  <si>
    <t>Personal Property</t>
  </si>
  <si>
    <t>Liability</t>
  </si>
  <si>
    <t>Student Loan</t>
  </si>
  <si>
    <t>Auto Loan</t>
  </si>
  <si>
    <t>TOTAL ASSETS</t>
  </si>
  <si>
    <t>TOTAL LIABILITIES</t>
  </si>
  <si>
    <t>NET WORTH</t>
  </si>
  <si>
    <t>📈  NET WORTH HISTORY</t>
  </si>
  <si>
    <t>Total Assets</t>
  </si>
  <si>
    <t>Total Liabilities</t>
  </si>
  <si>
    <t>MoM Change</t>
  </si>
  <si>
    <t>—</t>
  </si>
  <si>
    <t>🎯  GOAL MANAGEMENT SYSTEM  —  Track Goals to Completion</t>
  </si>
  <si>
    <t xml:space="preserve">  Category and Status use dropdowns. Update Progress % regularly for accurate dashboard.</t>
  </si>
  <si>
    <t>Goal Title</t>
  </si>
  <si>
    <t>Start Date</t>
  </si>
  <si>
    <t>Progress %</t>
  </si>
  <si>
    <t>Milestones / Notes</t>
  </si>
  <si>
    <t>Build $10K Emergency Fund</t>
  </si>
  <si>
    <t>1.$3K ✓  2.$6K ✓  3.$10K target</t>
  </si>
  <si>
    <t>Run First 5K Race</t>
  </si>
  <si>
    <t>2025-04-15</t>
  </si>
  <si>
    <t>Training 3x/week — 4K best so far</t>
  </si>
  <si>
    <t>Read 24 Books in 2025</t>
  </si>
  <si>
    <t>2025-12-31</t>
  </si>
  <si>
    <t>6/24 complete — on pace</t>
  </si>
  <si>
    <t>Pass AWS Solutions Architect</t>
  </si>
  <si>
    <t>2025-05-30</t>
  </si>
  <si>
    <t>Modules 4/10 — mock exams soon</t>
  </si>
  <si>
    <t>Learn Conversational Spanish</t>
  </si>
  <si>
    <t>Duolingo 62-day streak</t>
  </si>
  <si>
    <t>Launch Freelance Design Studio</t>
  </si>
  <si>
    <t>2025-08-01</t>
  </si>
  <si>
    <t>Portfolio done — 1st client pending</t>
  </si>
  <si>
    <t>Trip to Japan</t>
  </si>
  <si>
    <t>2025-10-15</t>
  </si>
  <si>
    <t>Flights &amp; hotels booked</t>
  </si>
  <si>
    <t>Lose 15 lbs</t>
  </si>
  <si>
    <t>2025-07-01</t>
  </si>
  <si>
    <t>7 lbs lost — gym 4x/week</t>
  </si>
  <si>
    <t>Pay Off Citi Credit Card</t>
  </si>
  <si>
    <t>$1,250 remaining of $3,000</t>
  </si>
  <si>
    <t>30-Day Meditation Streak</t>
  </si>
  <si>
    <t>2025-03-31</t>
  </si>
  <si>
    <t>30/30 days ✓</t>
  </si>
  <si>
    <t>Max Out Roth IRA 2025</t>
  </si>
  <si>
    <t>$2,100 / $7,000 contributed</t>
  </si>
  <si>
    <t>Finish Online Coding Bootcamp</t>
  </si>
  <si>
    <t>Module 9/20 complete</t>
  </si>
  <si>
    <t>✅  DAILY HABIT TRACKER  —  January 2025  |  15 Habits × 31 Days</t>
  </si>
  <si>
    <t xml:space="preserve">  Enter ✓ for each completed habit. Completion % and Streak auto-calculate at the right.</t>
  </si>
  <si>
    <t>HABIT</t>
  </si>
  <si>
    <t>Done✓</t>
  </si>
  <si>
    <t>Rate</t>
  </si>
  <si>
    <t>Streak🔥</t>
  </si>
  <si>
    <t>Morning Meditation 🧘</t>
  </si>
  <si>
    <t>✓</t>
  </si>
  <si>
    <t>1d</t>
  </si>
  <si>
    <t>Exercise / Workout 🏋️</t>
  </si>
  <si>
    <t>Drink 8 Glasses Water 💧</t>
  </si>
  <si>
    <t>31d</t>
  </si>
  <si>
    <t>Read 30 Minutes 📚</t>
  </si>
  <si>
    <t>No Social Media Before 9AM 📵</t>
  </si>
  <si>
    <t>2d</t>
  </si>
  <si>
    <t>Healthy Breakfast 🥗</t>
  </si>
  <si>
    <t>Evening Journal 📔</t>
  </si>
  <si>
    <t>0d</t>
  </si>
  <si>
    <t>Sleep Before 11PM 🌙</t>
  </si>
  <si>
    <t>4d</t>
  </si>
  <si>
    <t>Gratitude Practice 🙏</t>
  </si>
  <si>
    <t>10,000 Steps 🚶</t>
  </si>
  <si>
    <t>Learn Something New 🎓</t>
  </si>
  <si>
    <t>3d</t>
  </si>
  <si>
    <t>Review Goals 🎯</t>
  </si>
  <si>
    <t>No Junk Food 🥦</t>
  </si>
  <si>
    <t>Connect With a Friend 👥</t>
  </si>
  <si>
    <t>Cold Shower 🚿</t>
  </si>
  <si>
    <t>Daily Total ✓</t>
  </si>
  <si>
    <t>🗓️  MONTHLY CALENDAR  —  January 2025</t>
  </si>
  <si>
    <t>SUN</t>
  </si>
  <si>
    <t>MON</t>
  </si>
  <si>
    <t>TUE</t>
  </si>
  <si>
    <t>WED</t>
  </si>
  <si>
    <t>THU</t>
  </si>
  <si>
    <t>FRI</t>
  </si>
  <si>
    <t>SAT</t>
  </si>
  <si>
    <t>👥 Team Standup</t>
  </si>
  <si>
    <t>🏃 5K Race</t>
  </si>
  <si>
    <t>💼 Client Meeting</t>
  </si>
  <si>
    <t>🎂 Birthday Party</t>
  </si>
  <si>
    <t>✈️ Trip Departs</t>
  </si>
  <si>
    <t>🏥 Doctor Appt</t>
  </si>
  <si>
    <t>📊 Budget Review</t>
  </si>
  <si>
    <t>⏰  WEEKLY SCHEDULE  —  Week of Jan 13–19, 2025</t>
  </si>
  <si>
    <t xml:space="preserve">  Color-coded by activity type. Edit any cell to update your schedule.</t>
  </si>
  <si>
    <t>TIME</t>
  </si>
  <si>
    <t>6:00 AM</t>
  </si>
  <si>
    <t>Meditate</t>
  </si>
  <si>
    <t>7:00 AM</t>
  </si>
  <si>
    <t>Workout</t>
  </si>
  <si>
    <t>Long Run</t>
  </si>
  <si>
    <t>Rest</t>
  </si>
  <si>
    <t>8:00 AM</t>
  </si>
  <si>
    <t>Standup</t>
  </si>
  <si>
    <t>9:00 AM</t>
  </si>
  <si>
    <t>Deep Work</t>
  </si>
  <si>
    <t>10:00 AM</t>
  </si>
  <si>
    <t>11:00 AM</t>
  </si>
  <si>
    <t>12:00 PM</t>
  </si>
  <si>
    <t>Lunch</t>
  </si>
  <si>
    <t>1:00 PM</t>
  </si>
  <si>
    <t>Meetings</t>
  </si>
  <si>
    <t>1-on-1</t>
  </si>
  <si>
    <t>Review</t>
  </si>
  <si>
    <t>2:00 PM</t>
  </si>
  <si>
    <t>Grocery</t>
  </si>
  <si>
    <t>3:00 PM</t>
  </si>
  <si>
    <t>4:00 PM</t>
  </si>
  <si>
    <t>Games</t>
  </si>
  <si>
    <t>5:00 PM</t>
  </si>
  <si>
    <t>Study</t>
  </si>
  <si>
    <t>6:00 PM</t>
  </si>
  <si>
    <t>7:00 PM</t>
  </si>
  <si>
    <t>Read</t>
  </si>
  <si>
    <t>8:00 PM</t>
  </si>
  <si>
    <t>Meal Prep</t>
  </si>
  <si>
    <t>Family Time</t>
  </si>
  <si>
    <t>9:00 PM</t>
  </si>
  <si>
    <t>📝  TASK MANAGEMENT  —  Full Task List with Priority &amp; Status</t>
  </si>
  <si>
    <t xml:space="preserve">  Priority and Status use dropdowns. Color coding: Red=Critical, Orange=High, Blue=Medium.</t>
  </si>
  <si>
    <t>Task Title</t>
  </si>
  <si>
    <t>Due Date</t>
  </si>
  <si>
    <t>Priority</t>
  </si>
  <si>
    <t>Est.Hrs</t>
  </si>
  <si>
    <t>Done Hrs</t>
  </si>
  <si>
    <t>Project / Notes</t>
  </si>
  <si>
    <t>Complete Q1 Financial Review</t>
  </si>
  <si>
    <t>Finance Review</t>
  </si>
  <si>
    <t>Submit AWS Certification Application</t>
  </si>
  <si>
    <t>Need ID scan</t>
  </si>
  <si>
    <t>Prepare Monthly Budget</t>
  </si>
  <si>
    <t>2025-01-31</t>
  </si>
  <si>
    <t>Jan update</t>
  </si>
  <si>
    <t>Write Blog Post — Productivity Tips</t>
  </si>
  <si>
    <t>Outline done</t>
  </si>
  <si>
    <t>Organize Home Office</t>
  </si>
  <si>
    <t>2025-01-21</t>
  </si>
  <si>
    <t>Research High-Yield Savings</t>
  </si>
  <si>
    <t>Done ✓</t>
  </si>
  <si>
    <t>Update Resume and LinkedIn</t>
  </si>
  <si>
    <t>Plan Japan Trip Itinerary</t>
  </si>
  <si>
    <t>Hotels TBD</t>
  </si>
  <si>
    <t>Read Atomic Habits Ch 5–10</t>
  </si>
  <si>
    <t>2025-01-19</t>
  </si>
  <si>
    <t>Schedule Annual Physical</t>
  </si>
  <si>
    <t>Booked Jan 22</t>
  </si>
  <si>
    <t>Finish React Native Course</t>
  </si>
  <si>
    <t>2025-02-28</t>
  </si>
  <si>
    <t>Module 6/12</t>
  </si>
  <si>
    <t>Weekly Call with Family</t>
  </si>
  <si>
    <t>Every Sunday</t>
  </si>
  <si>
    <t>Sunday Meal Prep</t>
  </si>
  <si>
    <t>Review &amp; Update Goals</t>
  </si>
  <si>
    <t>Monthly review</t>
  </si>
  <si>
    <t>Fix Production Bug #247</t>
  </si>
  <si>
    <t>2025-01-17</t>
  </si>
  <si>
    <t>Deployed ✓</t>
  </si>
  <si>
    <t>Interview Prep — Mock Questions</t>
  </si>
  <si>
    <t>File Q4 Taxes</t>
  </si>
  <si>
    <t>Get CPA docs</t>
  </si>
  <si>
    <t>Finalize Side Project MVP</t>
  </si>
  <si>
    <t>Beta launch</t>
  </si>
  <si>
    <t>Deep Clean Apartment</t>
  </si>
  <si>
    <t>Buy Birthday Gift for Mom</t>
  </si>
  <si>
    <t>Feb 2nd</t>
  </si>
  <si>
    <t>📊  TASK SUMMARY BY STATUS</t>
  </si>
  <si>
    <t>Count</t>
  </si>
  <si>
    <t>⚡  PRIORITY MATRIX  —  Eisenhower Matrix + Kanban Board</t>
  </si>
  <si>
    <t>⚡  EISENHOWER DECISION MATRIX</t>
  </si>
  <si>
    <t>🔴  DO FIRST
(Urgent + Important)</t>
  </si>
  <si>
    <t>🟢  SCHEDULE
(Important, Not Urgent)</t>
  </si>
  <si>
    <t xml:space="preserve">  • Fix production bug</t>
  </si>
  <si>
    <t xml:space="preserve">  • Exercise routine</t>
  </si>
  <si>
    <t xml:space="preserve">  • Tax filing deadline</t>
  </si>
  <si>
    <t xml:space="preserve">  • Deep work projects</t>
  </si>
  <si>
    <t xml:space="preserve">  • Emergency fund gap</t>
  </si>
  <si>
    <t xml:space="preserve">  • AWS certification</t>
  </si>
  <si>
    <t xml:space="preserve">  • Doctor appointment</t>
  </si>
  <si>
    <t xml:space="preserve">  • Japan trip planning</t>
  </si>
  <si>
    <t xml:space="preserve">  • Client pres. tomorrow</t>
  </si>
  <si>
    <t xml:space="preserve">  • Financial goals</t>
  </si>
  <si>
    <t>🟡  DELEGATE
(Urgent, Not Important)</t>
  </si>
  <si>
    <t>⚪  ELIMINATE
(Not Urgent, Not Important)</t>
  </si>
  <si>
    <t xml:space="preserve">  • Some emails/calls</t>
  </si>
  <si>
    <t xml:space="preserve">  • Browsing social media</t>
  </si>
  <si>
    <t xml:space="preserve">  • Routine admin tasks</t>
  </si>
  <si>
    <t xml:space="preserve">  • Random YouTube</t>
  </si>
  <si>
    <t xml:space="preserve">  • Optional meetings</t>
  </si>
  <si>
    <t xml:space="preserve">  • Low-value meetings</t>
  </si>
  <si>
    <t xml:space="preserve">  • Document formatting</t>
  </si>
  <si>
    <t xml:space="preserve">  • Excessive email</t>
  </si>
  <si>
    <t xml:space="preserve">  • Status updates</t>
  </si>
  <si>
    <t xml:space="preserve">  • Busy-work</t>
  </si>
  <si>
    <t>📌  KANBAN BOARD</t>
  </si>
  <si>
    <t>📥 BACKLOG</t>
  </si>
  <si>
    <t>📋 TO DO</t>
  </si>
  <si>
    <t>⚡ IN PROGRESS</t>
  </si>
  <si>
    <t>✅ DONE</t>
  </si>
  <si>
    <t xml:space="preserve">  Research competitors</t>
  </si>
  <si>
    <t xml:space="preserve">  Budget weekly review</t>
  </si>
  <si>
    <t xml:space="preserve">  Fix login bug</t>
  </si>
  <si>
    <t xml:space="preserve">  Emergency fund setup</t>
  </si>
  <si>
    <t xml:space="preserve">  Update portfolio</t>
  </si>
  <si>
    <t xml:space="preserve">  Apply AWS cert</t>
  </si>
  <si>
    <t xml:space="preserve">  Project proposal</t>
  </si>
  <si>
    <t xml:space="preserve">  Q1 budget plan</t>
  </si>
  <si>
    <t xml:space="preserve">  3 blog posts</t>
  </si>
  <si>
    <t xml:space="preserve">  Update resume</t>
  </si>
  <si>
    <t xml:space="preserve">  Japan trip plan</t>
  </si>
  <si>
    <t xml:space="preserve">  Finished: Deep Work</t>
  </si>
  <si>
    <t xml:space="preserve">  Setup automations</t>
  </si>
  <si>
    <t xml:space="preserve">  Read Atomic Habits</t>
  </si>
  <si>
    <t xml:space="preserve">  Side project MVP</t>
  </si>
  <si>
    <t xml:space="preserve">  5K race registered</t>
  </si>
  <si>
    <t xml:space="preserve">  Redesign landing page</t>
  </si>
  <si>
    <t xml:space="preserve">  Plan Q2 goals</t>
  </si>
  <si>
    <t xml:space="preserve">  AWS course mod 6</t>
  </si>
  <si>
    <t xml:space="preserve">  Monthly review done</t>
  </si>
  <si>
    <t>🏃  HEALTH &amp; WELLNESS TRACKER  —  Weight · Exercise · Sleep · Mood</t>
  </si>
  <si>
    <t xml:space="preserve">  Log daily. All charts auto-generate. Mood scale: 1 (Terrible) to 10 (Excellent).</t>
  </si>
  <si>
    <t>Weight(lbs)</t>
  </si>
  <si>
    <t>Body Fat%</t>
  </si>
  <si>
    <t>Exercise Type</t>
  </si>
  <si>
    <t>Duration(min)</t>
  </si>
  <si>
    <t>Water(glasses)</t>
  </si>
  <si>
    <t>Sleep(hrs)</t>
  </si>
  <si>
    <t>Mood(1-10)</t>
  </si>
  <si>
    <t>Calories</t>
  </si>
  <si>
    <t>Rest Day</t>
  </si>
  <si>
    <t>New Year</t>
  </si>
  <si>
    <t>Chest &amp; Triceps</t>
  </si>
  <si>
    <t>Good pump</t>
  </si>
  <si>
    <t>Run 3K</t>
  </si>
  <si>
    <t>Back &amp; Biceps</t>
  </si>
  <si>
    <t>Tired</t>
  </si>
  <si>
    <t>Yoga</t>
  </si>
  <si>
    <t>2025-01-07</t>
  </si>
  <si>
    <t>Leg Day</t>
  </si>
  <si>
    <t>Squats PR</t>
  </si>
  <si>
    <t>Run 4K</t>
  </si>
  <si>
    <t>2025-01-09</t>
  </si>
  <si>
    <t>Shoulders</t>
  </si>
  <si>
    <t>HIIT</t>
  </si>
  <si>
    <t>Stressful day</t>
  </si>
  <si>
    <t>2025-01-11</t>
  </si>
  <si>
    <t>Run 5K</t>
  </si>
  <si>
    <t>New PR!</t>
  </si>
  <si>
    <t>2025-01-13</t>
  </si>
  <si>
    <t>Full Body</t>
  </si>
  <si>
    <t>Walk</t>
  </si>
  <si>
    <t>Feeling great</t>
  </si>
  <si>
    <t>Run 6K</t>
  </si>
  <si>
    <t>Long run done</t>
  </si>
  <si>
    <t>📊  HEALTH SUMMARY STATS</t>
  </si>
  <si>
    <t>Metric</t>
  </si>
  <si>
    <t>Average</t>
  </si>
  <si>
    <t>Min</t>
  </si>
  <si>
    <t>Max</t>
  </si>
  <si>
    <t>Weight (lbs)</t>
  </si>
  <si>
    <t>Exercise (min)</t>
  </si>
  <si>
    <t>Water (glasses)</t>
  </si>
  <si>
    <t>Sleep (hrs)</t>
  </si>
  <si>
    <t>Mood (1-10)</t>
  </si>
  <si>
    <t>🍽️  MEAL PLANNING SYSTEM  —  Database · Weekly Plan · Grocery List</t>
  </si>
  <si>
    <t>📚  MEAL DATABASE</t>
  </si>
  <si>
    <t>Meal Name</t>
  </si>
  <si>
    <t>Protein(g)</t>
  </si>
  <si>
    <t>Carbs(g)</t>
  </si>
  <si>
    <t>Fat(g)</t>
  </si>
  <si>
    <t>Prep(min)</t>
  </si>
  <si>
    <t>Overnight Oats</t>
  </si>
  <si>
    <t>Breakfast</t>
  </si>
  <si>
    <t>Oats, almond milk, banana, honey</t>
  </si>
  <si>
    <t>Eggs &amp; Avocado Toast</t>
  </si>
  <si>
    <t>Sourdough, 2 eggs, 1/2 avocado</t>
  </si>
  <si>
    <t>Greek Yogurt Parfait</t>
  </si>
  <si>
    <t>Greek yogurt, berries, granola</t>
  </si>
  <si>
    <t>Protein Smoothie</t>
  </si>
  <si>
    <t>Whey, banana, almond milk, PB</t>
  </si>
  <si>
    <t>Grilled Chicken Salad</t>
  </si>
  <si>
    <t>Chicken, mixed greens, vinaigrette</t>
  </si>
  <si>
    <t>Turkey Quinoa Bowl</t>
  </si>
  <si>
    <t>Ground turkey, quinoa, roasted veg</t>
  </si>
  <si>
    <t>Tuna Sandwich</t>
  </si>
  <si>
    <t>Tuna, whole wheat, lettuce, tomato</t>
  </si>
  <si>
    <t>Salmon &amp; Vegetables</t>
  </si>
  <si>
    <t>Dinner</t>
  </si>
  <si>
    <t>Salmon, broccoli, sweet potato</t>
  </si>
  <si>
    <t>Beef &amp; Rice Bowl</t>
  </si>
  <si>
    <t>Lean beef, rice, mixed vegetables</t>
  </si>
  <si>
    <t>Baked Chicken Thighs</t>
  </si>
  <si>
    <t>Chicken, herbs, roasted potatoes</t>
  </si>
  <si>
    <t>Pasta Bolognese</t>
  </si>
  <si>
    <t>Lean ground beef, whole wheat pasta</t>
  </si>
  <si>
    <t>Apple &amp; Almond Butter</t>
  </si>
  <si>
    <t>Snack</t>
  </si>
  <si>
    <t>1 apple, 2 tbsp almond butter</t>
  </si>
  <si>
    <t>Hummus &amp; Veggies</t>
  </si>
  <si>
    <t>Carrots, celery, bell pepper, hummus</t>
  </si>
  <si>
    <t>Protein Bar</t>
  </si>
  <si>
    <t>Quest or similar brand</t>
  </si>
  <si>
    <t>Overnight Oats Variation</t>
  </si>
  <si>
    <t>Oats, protein powder, berries</t>
  </si>
  <si>
    <t>📅  WEEKLY MEAL PLANNER</t>
  </si>
  <si>
    <t>MEAL</t>
  </si>
  <si>
    <t>Eggs &amp; Avocado</t>
  </si>
  <si>
    <t>Greek Yogurt</t>
  </si>
  <si>
    <t>Chicken Salad</t>
  </si>
  <si>
    <t>Turkey Quinoa</t>
  </si>
  <si>
    <t>Quinoa Bowl</t>
  </si>
  <si>
    <t>Salmon &amp; Veg</t>
  </si>
  <si>
    <t>Beef &amp; Rice</t>
  </si>
  <si>
    <t>Baked Chicken</t>
  </si>
  <si>
    <t>Pasta Bolo</t>
  </si>
  <si>
    <t>Apple &amp; AB</t>
  </si>
  <si>
    <t>Hummus &amp; Veg</t>
  </si>
  <si>
    <t>🛒  WEEKLY GROCERY LIST</t>
  </si>
  <si>
    <t>Qty</t>
  </si>
  <si>
    <t>Unit</t>
  </si>
  <si>
    <t>Est. Cost</t>
  </si>
  <si>
    <t>In Stock?</t>
  </si>
  <si>
    <t>Chicken Breast</t>
  </si>
  <si>
    <t>Protein</t>
  </si>
  <si>
    <t>lbs</t>
  </si>
  <si>
    <t>Salmon Fillets</t>
  </si>
  <si>
    <t>Ground Beef</t>
  </si>
  <si>
    <t>Eggs</t>
  </si>
  <si>
    <t>count</t>
  </si>
  <si>
    <t>Dairy</t>
  </si>
  <si>
    <t>cups</t>
  </si>
  <si>
    <t>Full fat</t>
  </si>
  <si>
    <t>Rolled Oats</t>
  </si>
  <si>
    <t>Grains</t>
  </si>
  <si>
    <t>bag</t>
  </si>
  <si>
    <t>Quinoa</t>
  </si>
  <si>
    <t>Whole Wheat Bread</t>
  </si>
  <si>
    <t>loaf</t>
  </si>
  <si>
    <t>Mixed Greens</t>
  </si>
  <si>
    <t>Produce</t>
  </si>
  <si>
    <t>Broccoli</t>
  </si>
  <si>
    <t>heads</t>
  </si>
  <si>
    <t>Sweet Potato</t>
  </si>
  <si>
    <t>Avocado</t>
  </si>
  <si>
    <t>Bananas</t>
  </si>
  <si>
    <t>bunch</t>
  </si>
  <si>
    <t>Almond Butter</t>
  </si>
  <si>
    <t>Pantry</t>
  </si>
  <si>
    <t>jar</t>
  </si>
  <si>
    <t>Whey Protein</t>
  </si>
  <si>
    <t>Supplement</t>
  </si>
  <si>
    <t>tub</t>
  </si>
  <si>
    <t>ESTIMATED TOTAL</t>
  </si>
  <si>
    <t>📊  PRODUCTIVITY ANALYTICS  —  6-Month Performance Trends</t>
  </si>
  <si>
    <t xml:space="preserve">  Live KPIs pull from all sheets. Trend data shows 6-month historical performance.</t>
  </si>
  <si>
    <t>🏆  LIVE PERFORMANCE METRICS</t>
  </si>
  <si>
    <t>Live Value</t>
  </si>
  <si>
    <t>Target</t>
  </si>
  <si>
    <t>Gap</t>
  </si>
  <si>
    <t>Habit Completion Rate</t>
  </si>
  <si>
    <t>Avg Goal Progress</t>
  </si>
  <si>
    <t>Task Completion Rate</t>
  </si>
  <si>
    <t>Monthly Savings Rate</t>
  </si>
  <si>
    <t>Budget Adherence</t>
  </si>
  <si>
    <t>Avg Daily Mood</t>
  </si>
  <si>
    <t>Avg Daily Sleep (hrs)</t>
  </si>
  <si>
    <t>Exercise Days (Month)</t>
  </si>
  <si>
    <t>📈  6-MONTH PERFORMANCE TRENDS</t>
  </si>
  <si>
    <t>Habit Rate</t>
  </si>
  <si>
    <t>Goal Progress</t>
  </si>
  <si>
    <t>Task Rate</t>
  </si>
  <si>
    <t>Mood Avg</t>
  </si>
  <si>
    <t>Budget Score</t>
  </si>
  <si>
    <t>📖  USER GUIDE  —  How to Use This Workbook</t>
  </si>
  <si>
    <t xml:space="preserve">  GETTING STARTED</t>
  </si>
  <si>
    <t>Step 1</t>
  </si>
  <si>
    <t>Open the 🔐 START tab and type  life2025  in the yellow cell to verify access.</t>
  </si>
  <si>
    <t>Step 2</t>
  </si>
  <si>
    <t>Go to ⚙️ SETUP to customise all category lists that power every dropdown.</t>
  </si>
  <si>
    <t>Step 3</t>
  </si>
  <si>
    <t>Enter your bank accounts, income, and initial expenses to populate the dashboard.</t>
  </si>
  <si>
    <t>Step 4</t>
  </si>
  <si>
    <t>Set your goals in 🎯 GOALS and habits in ✅ HABITS with progress % each week.</t>
  </si>
  <si>
    <t>Step 5</t>
  </si>
  <si>
    <t>Use 📝 TASKS daily; Priority &amp; Status dropdowns keep everything organised.</t>
  </si>
  <si>
    <t xml:space="preserve">  DAILY WORKFLOW</t>
  </si>
  <si>
    <t>Morning</t>
  </si>
  <si>
    <t>Check 📊 DASHBOARD for your KPI snapshot. Review 📝 TASKS by priority.</t>
  </si>
  <si>
    <t>During Day</t>
  </si>
  <si>
    <t>Log expenses in 📤 EXPENSES as they occur. Mark ✓ in ✅ HABITS each evening.</t>
  </si>
  <si>
    <t>Evening</t>
  </si>
  <si>
    <t>Update task statuses. Log health in 🏃 HEALTH (weight, sleep, mood, exercise).</t>
  </si>
  <si>
    <t>Review 📋 BUDGET vs actuals. Update 🎯 GOALS progress %. Check 📊 ANALYTICS.</t>
  </si>
  <si>
    <t>Update 💰 NET WORTH history. Review 💼 WEALTH savings progress and debt.</t>
  </si>
  <si>
    <t xml:space="preserve">  SHEET DIRECTORY</t>
  </si>
  <si>
    <t>🔐 START</t>
  </si>
  <si>
    <t>Password splash screen — default password: life2025</t>
  </si>
  <si>
    <t>🏠 HOME</t>
  </si>
  <si>
    <t>Navigation hub with cards linking to all 20 sheets</t>
  </si>
  <si>
    <t>⚙️ SETUP</t>
  </si>
  <si>
    <t>Edit all dropdown lists that flow to every other sheet</t>
  </si>
  <si>
    <t>📊 DASHBOARD</t>
  </si>
  <si>
    <t>Live KPI cards + Income/Expenses/Net Worth charts</t>
  </si>
  <si>
    <t>📥 INCOME</t>
  </si>
  <si>
    <t>Log income with source category dropdown</t>
  </si>
  <si>
    <t>📤 EXPENSES</t>
  </si>
  <si>
    <t>Track expenses with category dropdown + spending chart</t>
  </si>
  <si>
    <t>📋 BUDGET</t>
  </si>
  <si>
    <t>Monthly budget planner with On Track / Over Budget status</t>
  </si>
  <si>
    <t>💼 WEALTH</t>
  </si>
  <si>
    <t>Savings goals, debt tracker with payoff dates</t>
  </si>
  <si>
    <t>📈 INVESTMENTS</t>
  </si>
  <si>
    <t>Portfolio holdings + 10-year compound growth forecast</t>
  </si>
  <si>
    <t>💰 NET WORTH</t>
  </si>
  <si>
    <t>Asset/liability breakdown + historical net worth trend</t>
  </si>
  <si>
    <t>🎯 GOALS</t>
  </si>
  <si>
    <t>12-goal tracker with progress bars and chart</t>
  </si>
  <si>
    <t>✅ HABITS</t>
  </si>
  <si>
    <t>31-day daily habit grid with streaks and completion rate</t>
  </si>
  <si>
    <t>🗓️ CALENDAR</t>
  </si>
  <si>
    <t>Monthly calendar with events</t>
  </si>
  <si>
    <t>⏰ WEEKLY PLAN</t>
  </si>
  <si>
    <t>Hour-by-hour weekly schedule</t>
  </si>
  <si>
    <t>📝 TASKS</t>
  </si>
  <si>
    <t>20 tasks with priority matrix and status tracking</t>
  </si>
  <si>
    <t>⚡ PRIORITY</t>
  </si>
  <si>
    <t>Eisenhower Matrix + Kanban board</t>
  </si>
  <si>
    <t>🏃 HEALTH</t>
  </si>
  <si>
    <t>Daily health metrics with weight trend chart</t>
  </si>
  <si>
    <t>🍽️ MEALS</t>
  </si>
  <si>
    <t>Meal database, weekly planner, grocery list</t>
  </si>
  <si>
    <t>📊 ANALYTICS</t>
  </si>
  <si>
    <t>6-month performance trends + live KPIs</t>
  </si>
  <si>
    <t>📖 USER GUIDE</t>
  </si>
  <si>
    <t>You are here!</t>
  </si>
  <si>
    <t xml:space="preserve">  KEY FORMULAS</t>
  </si>
  <si>
    <t>SUMIF</t>
  </si>
  <si>
    <t>Sums amounts by category (Budget, Income/Expense summaries)</t>
  </si>
  <si>
    <t>COUNTIF</t>
  </si>
  <si>
    <t>Counts tasks by status, habits by completion mark</t>
  </si>
  <si>
    <t>IFERROR</t>
  </si>
  <si>
    <t>Wraps every formula to prevent errors when data is empty</t>
  </si>
  <si>
    <t>AVERAGE</t>
  </si>
  <si>
    <t>Health averages (weight, sleep, mood, exercise)</t>
  </si>
  <si>
    <t>FV</t>
  </si>
  <si>
    <t>Future Value — investment compound growth forecast</t>
  </si>
  <si>
    <t>EDATE</t>
  </si>
  <si>
    <t>Debt payoff date calculation based on payment + interest rate</t>
  </si>
  <si>
    <t>REPT</t>
  </si>
  <si>
    <t>Visual progress bars using █ and ░ characters in Savings sheet</t>
  </si>
  <si>
    <t>Dropdowns</t>
  </si>
  <si>
    <t>All category dropdowns reference lists in ⚙️ SETUP!B:I</t>
  </si>
  <si>
    <t>Life Management Dashboard  •  v2.0  •  Password: life2025  •  20 Tabs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</si>
</sst>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  <numFmt numFmtId="177" formatCode="0.0"/>
    <numFmt numFmtId="178" formatCode="&quot;$&quot;#,##0.00"/>
    <numFmt numFmtId="179" formatCode="0.0\%"/>
    <numFmt numFmtId="180" formatCode="yyyy\-mm\-dd"/>
    <numFmt numFmtId="181" formatCode="&quot;$&quot;#,##0"/>
    <numFmt numFmtId="182" formatCode="mmm\-yyyy"/>
  </numFmts>
  <fonts count="107">
    <font>
      <sz val="11"/>
      <color theme="1"/>
      <name val="Calibri"/>
      <charset val="1"/>
    </font>
    <font>
      <b/>
      <sz val="14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2563EB"/>
      <name val="Calibri"/>
      <charset val="1"/>
    </font>
    <font>
      <sz val="10"/>
      <color rgb="FF1E293B"/>
      <name val="Calibri"/>
      <charset val="1"/>
    </font>
    <font>
      <b/>
      <sz val="10"/>
      <color rgb="FF16A34A"/>
      <name val="Calibri"/>
      <charset val="1"/>
    </font>
    <font>
      <b/>
      <sz val="10"/>
      <color rgb="FF0D9488"/>
      <name val="Calibri"/>
      <charset val="1"/>
    </font>
    <font>
      <b/>
      <sz val="10"/>
      <color rgb="FF7C3AED"/>
      <name val="Calibri"/>
      <charset val="1"/>
    </font>
    <font>
      <i/>
      <sz val="9"/>
      <color rgb="FF64748B"/>
      <name val="Calibri"/>
      <charset val="1"/>
    </font>
    <font>
      <b/>
      <sz val="10"/>
      <color rgb="FF1E293B"/>
      <name val="Calibri"/>
      <charset val="1"/>
    </font>
    <font>
      <sz val="10"/>
      <color rgb="FFD97706"/>
      <name val="Calibri"/>
      <charset val="1"/>
    </font>
    <font>
      <sz val="10"/>
      <color rgb="FFDC2626"/>
      <name val="Calibri"/>
      <charset val="1"/>
    </font>
    <font>
      <sz val="10"/>
      <color rgb="FF16A34A"/>
      <name val="Calibri"/>
      <charset val="1"/>
    </font>
    <font>
      <sz val="10"/>
      <color rgb="FF7C3AED"/>
      <name val="Calibri"/>
      <charset val="1"/>
    </font>
    <font>
      <b/>
      <sz val="10"/>
      <color rgb="FFEA580C"/>
      <name val="Calibri"/>
      <charset val="1"/>
    </font>
    <font>
      <sz val="9"/>
      <color rgb="FF1E293B"/>
      <name val="Calibri"/>
      <charset val="1"/>
    </font>
    <font>
      <b/>
      <sz val="10"/>
      <color rgb="FF1E3A5F"/>
      <name val="Calibri"/>
      <charset val="1"/>
    </font>
    <font>
      <b/>
      <sz val="10"/>
      <color rgb="FFD97706"/>
      <name val="Calibri"/>
      <charset val="1"/>
    </font>
    <font>
      <sz val="10"/>
      <color rgb="FF64748B"/>
      <name val="Calibri"/>
      <charset val="1"/>
    </font>
    <font>
      <b/>
      <sz val="11"/>
      <color rgb="FFFFFFFF"/>
      <name val="Calibri"/>
      <charset val="1"/>
    </font>
    <font>
      <b/>
      <sz val="13"/>
      <color rgb="FFFFFFFF"/>
      <name val="Calibri"/>
      <charset val="1"/>
    </font>
    <font>
      <b/>
      <sz val="10"/>
      <color rgb="FFDC2626"/>
      <name val="Calibri"/>
      <charset val="1"/>
    </font>
    <font>
      <sz val="10"/>
      <color rgb="FF2563EB"/>
      <name val="Calibri"/>
      <charset val="1"/>
    </font>
    <font>
      <sz val="9"/>
      <color rgb="FF16A34A"/>
      <name val="Calibri"/>
      <charset val="1"/>
    </font>
    <font>
      <sz val="9"/>
      <color rgb="FFEA580C"/>
      <name val="Calibri"/>
      <charset val="1"/>
    </font>
    <font>
      <sz val="9"/>
      <color rgb="FFDC2626"/>
      <name val="Calibri"/>
      <charset val="1"/>
    </font>
    <font>
      <sz val="9"/>
      <color rgb="FF2563EB"/>
      <name val="Calibri"/>
      <charset val="1"/>
    </font>
    <font>
      <b/>
      <sz val="10"/>
      <color rgb="FF64748B"/>
      <name val="Calibri"/>
      <charset val="1"/>
    </font>
    <font>
      <sz val="10"/>
      <color rgb="FF0D9488"/>
      <name val="Calibri"/>
      <charset val="1"/>
    </font>
    <font>
      <b/>
      <sz val="9"/>
      <color rgb="FF7C3AED"/>
      <name val="Calibri"/>
      <charset val="1"/>
    </font>
    <font>
      <b/>
      <sz val="9"/>
      <color rgb="FF16A34A"/>
      <name val="Calibri"/>
      <charset val="1"/>
    </font>
    <font>
      <b/>
      <sz val="9"/>
      <color rgb="FF64748B"/>
      <name val="Calibri"/>
      <charset val="1"/>
    </font>
    <font>
      <b/>
      <sz val="9"/>
      <color rgb="FF2563EB"/>
      <name val="Calibri"/>
      <charset val="1"/>
    </font>
    <font>
      <b/>
      <sz val="9"/>
      <color rgb="FF0D9488"/>
      <name val="Calibri"/>
      <charset val="1"/>
    </font>
    <font>
      <b/>
      <sz val="9"/>
      <color rgb="FFD97706"/>
      <name val="Calibri"/>
      <charset val="1"/>
    </font>
    <font>
      <b/>
      <sz val="9"/>
      <color rgb="FF0EA5E9"/>
      <name val="Calibri"/>
      <charset val="1"/>
    </font>
    <font>
      <b/>
      <sz val="9"/>
      <color rgb="FFEA580C"/>
      <name val="Calibri"/>
      <charset val="1"/>
    </font>
    <font>
      <b/>
      <sz val="9"/>
      <color rgb="FF65A30D"/>
      <name val="Calibri"/>
      <charset val="1"/>
    </font>
    <font>
      <b/>
      <sz val="9"/>
      <color rgb="FFDB2777"/>
      <name val="Calibri"/>
      <charset val="1"/>
    </font>
    <font>
      <b/>
      <sz val="12"/>
      <color rgb="FF1E3A5F"/>
      <name val="Calibri"/>
      <charset val="1"/>
    </font>
    <font>
      <b/>
      <sz val="12"/>
      <color rgb="FF0EA5E9"/>
      <name val="Calibri"/>
      <charset val="1"/>
    </font>
    <font>
      <b/>
      <sz val="8"/>
      <color rgb="FF7C3AED"/>
      <name val="Calibri"/>
      <charset val="1"/>
    </font>
    <font>
      <b/>
      <sz val="9"/>
      <color rgb="FFFFFFFF"/>
      <name val="Calibri"/>
      <charset val="1"/>
    </font>
    <font>
      <b/>
      <sz val="8"/>
      <color rgb="FFFFFFFF"/>
      <name val="Calibri"/>
      <charset val="1"/>
    </font>
    <font>
      <b/>
      <sz val="9"/>
      <color rgb="FF1E293B"/>
      <name val="Calibri"/>
      <charset val="1"/>
    </font>
    <font>
      <b/>
      <sz val="9"/>
      <color rgb="FFCBD5E1"/>
      <name val="Calibri"/>
      <charset val="1"/>
    </font>
    <font>
      <sz val="9"/>
      <color rgb="FF0D9488"/>
      <name val="Calibri"/>
      <charset val="1"/>
    </font>
    <font>
      <b/>
      <sz val="14"/>
      <color rgb="FF16A34A"/>
      <name val="Calibri"/>
      <charset val="1"/>
    </font>
    <font>
      <b/>
      <sz val="14"/>
      <color rgb="FFDC2626"/>
      <name val="Calibri"/>
      <charset val="1"/>
    </font>
    <font>
      <b/>
      <sz val="14"/>
      <color rgb="FF2563EB"/>
      <name val="Calibri"/>
      <charset val="1"/>
    </font>
    <font>
      <sz val="10"/>
      <color rgb="FF16A34A"/>
      <name val="Consolas"/>
      <charset val="1"/>
    </font>
    <font>
      <sz val="10"/>
      <color rgb="FF1E3A5F"/>
      <name val="Calibri"/>
      <charset val="1"/>
    </font>
    <font>
      <sz val="9"/>
      <color rgb="FF64748B"/>
      <name val="Calibri"/>
      <charset val="1"/>
    </font>
    <font>
      <b/>
      <sz val="20"/>
      <color rgb="FF16A34A"/>
      <name val="Calibri"/>
      <charset val="1"/>
    </font>
    <font>
      <b/>
      <sz val="20"/>
      <color rgb="FFDC2626"/>
      <name val="Calibri"/>
      <charset val="1"/>
    </font>
    <font>
      <b/>
      <sz val="20"/>
      <color rgb="FF2563EB"/>
      <name val="Calibri"/>
      <charset val="1"/>
    </font>
    <font>
      <b/>
      <sz val="20"/>
      <color rgb="FF0D9488"/>
      <name val="Calibri"/>
      <charset val="1"/>
    </font>
    <font>
      <b/>
      <sz val="20"/>
      <color rgb="FFEA580C"/>
      <name val="Calibri"/>
      <charset val="1"/>
    </font>
    <font>
      <b/>
      <sz val="20"/>
      <color rgb="FF65A30D"/>
      <name val="Calibri"/>
      <charset val="1"/>
    </font>
    <font>
      <b/>
      <sz val="20"/>
      <color rgb="FFDB2777"/>
      <name val="Calibri"/>
      <charset val="1"/>
    </font>
    <font>
      <b/>
      <sz val="20"/>
      <color rgb="FF7C3AED"/>
      <name val="Calibri"/>
      <charset val="1"/>
    </font>
    <font>
      <b/>
      <sz val="22"/>
      <color rgb="FFFFFFFF"/>
      <name val="Calibri"/>
      <charset val="1"/>
    </font>
    <font>
      <i/>
      <sz val="10"/>
      <color rgb="FF64748B"/>
      <name val="Calibri"/>
      <charset val="1"/>
    </font>
    <font>
      <i/>
      <sz val="8"/>
      <color rgb="FF64748B"/>
      <name val="Calibri"/>
      <charset val="1"/>
    </font>
    <font>
      <i/>
      <sz val="8"/>
      <color rgb="FF2563EB"/>
      <name val="Calibri"/>
      <charset val="1"/>
    </font>
    <font>
      <i/>
      <sz val="8"/>
      <color rgb="FF16A34A"/>
      <name val="Calibri"/>
      <charset val="1"/>
    </font>
    <font>
      <i/>
      <sz val="8"/>
      <color rgb="FFDC2626"/>
      <name val="Calibri"/>
      <charset val="1"/>
    </font>
    <font>
      <i/>
      <sz val="8"/>
      <color rgb="FFD97706"/>
      <name val="Calibri"/>
      <charset val="1"/>
    </font>
    <font>
      <i/>
      <sz val="8"/>
      <color rgb="FF7C3AED"/>
      <name val="Calibri"/>
      <charset val="1"/>
    </font>
    <font>
      <i/>
      <sz val="8"/>
      <color rgb="FF0D9488"/>
      <name val="Calibri"/>
      <charset val="1"/>
    </font>
    <font>
      <i/>
      <sz val="8"/>
      <color rgb="FFEA580C"/>
      <name val="Calibri"/>
      <charset val="1"/>
    </font>
    <font>
      <i/>
      <sz val="8"/>
      <color rgb="FF65A30D"/>
      <name val="Calibri"/>
      <charset val="1"/>
    </font>
    <font>
      <i/>
      <sz val="8"/>
      <color rgb="FF0EA5E9"/>
      <name val="Calibri"/>
      <charset val="1"/>
    </font>
    <font>
      <i/>
      <sz val="8"/>
      <color rgb="FF1E3A5F"/>
      <name val="Calibri"/>
      <charset val="1"/>
    </font>
    <font>
      <i/>
      <sz val="8"/>
      <color rgb="FFDB2777"/>
      <name val="Calibri"/>
      <charset val="1"/>
    </font>
    <font>
      <b/>
      <sz val="16"/>
      <color rgb="FF16A34A"/>
      <name val="Calibri"/>
      <charset val="1"/>
    </font>
    <font>
      <b/>
      <sz val="16"/>
      <color rgb="FFDC2626"/>
      <name val="Calibri"/>
      <charset val="1"/>
    </font>
    <font>
      <b/>
      <sz val="16"/>
      <color rgb="FF0D9488"/>
      <name val="Calibri"/>
      <charset val="1"/>
    </font>
    <font>
      <b/>
      <sz val="16"/>
      <color rgb="FFEA580C"/>
      <name val="Calibri"/>
      <charset val="1"/>
    </font>
    <font>
      <b/>
      <sz val="28"/>
      <color rgb="FFFFFFFF"/>
      <name val="Calibri"/>
      <charset val="1"/>
    </font>
    <font>
      <i/>
      <sz val="13"/>
      <color rgb="FF90CAF9"/>
      <name val="Calibri"/>
      <charset val="1"/>
    </font>
    <font>
      <b/>
      <sz val="12"/>
      <color rgb="FFFFFFFF"/>
      <name val="Calibri"/>
      <charset val="1"/>
    </font>
    <font>
      <i/>
      <sz val="9"/>
      <color rgb="FF93C5FD"/>
      <name val="Calibri"/>
      <charset val="1"/>
    </font>
    <font>
      <b/>
      <sz val="14"/>
      <color rgb="FF1E293B"/>
      <name val="Calibri"/>
      <charset val="1"/>
    </font>
    <font>
      <i/>
      <sz val="9"/>
      <color rgb="FF6B7280"/>
      <name val="Calibri"/>
      <charset val="1"/>
    </font>
    <font>
      <b/>
      <sz val="11"/>
      <color rgb="FFD97706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1E3A5F"/>
        <bgColor rgb="FF1E3A8A"/>
      </patternFill>
    </fill>
    <fill>
      <patternFill patternType="solid">
        <fgColor rgb="FF2563EB"/>
        <bgColor rgb="FF1E40AF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8FAFC"/>
      </patternFill>
    </fill>
    <fill>
      <patternFill patternType="solid">
        <fgColor rgb="FF16A34A"/>
        <bgColor rgb="FF0D9488"/>
      </patternFill>
    </fill>
    <fill>
      <patternFill patternType="solid">
        <fgColor rgb="FF0D9488"/>
        <bgColor rgb="FF008080"/>
      </patternFill>
    </fill>
    <fill>
      <patternFill patternType="solid">
        <fgColor rgb="FF7C3AED"/>
        <bgColor rgb="FF1E40AF"/>
      </patternFill>
    </fill>
    <fill>
      <patternFill patternType="solid">
        <fgColor rgb="FFD97706"/>
        <bgColor rgb="FFEA580C"/>
      </patternFill>
    </fill>
    <fill>
      <patternFill patternType="solid">
        <fgColor rgb="FFDC2626"/>
        <bgColor rgb="FFDB2777"/>
      </patternFill>
    </fill>
    <fill>
      <patternFill patternType="solid">
        <fgColor rgb="FF65A30D"/>
        <bgColor rgb="FF99CC00"/>
      </patternFill>
    </fill>
    <fill>
      <patternFill patternType="solid">
        <fgColor rgb="FFEA580C"/>
        <bgColor rgb="FFD97706"/>
      </patternFill>
    </fill>
    <fill>
      <patternFill patternType="solid">
        <fgColor rgb="FFDB2777"/>
        <bgColor rgb="FFDC2626"/>
      </patternFill>
    </fill>
    <fill>
      <patternFill patternType="solid">
        <fgColor rgb="FF64748B"/>
        <bgColor rgb="FF6B7280"/>
      </patternFill>
    </fill>
    <fill>
      <patternFill patternType="solid">
        <fgColor rgb="FF0EA5E9"/>
        <bgColor rgb="FF0D9488"/>
      </patternFill>
    </fill>
    <fill>
      <patternFill patternType="solid">
        <fgColor rgb="FFEFF6FF"/>
        <bgColor rgb="FFF1F5F9"/>
      </patternFill>
    </fill>
    <fill>
      <patternFill patternType="solid">
        <fgColor rgb="FFF8FAFC"/>
        <bgColor rgb="FFFFFFFF"/>
      </patternFill>
    </fill>
    <fill>
      <patternFill patternType="solid">
        <fgColor rgb="FFF3E8FF"/>
        <bgColor rgb="FFF1F5F9"/>
      </patternFill>
    </fill>
    <fill>
      <patternFill patternType="solid">
        <fgColor rgb="FF166534"/>
        <bgColor rgb="FF008080"/>
      </patternFill>
    </fill>
    <fill>
      <patternFill patternType="solid">
        <fgColor rgb="FFCBD5E1"/>
        <bgColor rgb="FFD9D9D9"/>
      </patternFill>
    </fill>
    <fill>
      <patternFill patternType="solid">
        <fgColor rgb="FF1E40AF"/>
        <bgColor rgb="FF1E3A8A"/>
      </patternFill>
    </fill>
    <fill>
      <patternFill patternType="solid">
        <fgColor rgb="FF1E3A8A"/>
        <bgColor rgb="FF1E40AF"/>
      </patternFill>
    </fill>
    <fill>
      <patternFill patternType="solid">
        <fgColor rgb="FFFEF08A"/>
        <bgColor rgb="FFFFCC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medium">
        <color rgb="FFDC2626"/>
      </left>
      <right/>
      <top/>
      <bottom/>
      <diagonal/>
    </border>
    <border>
      <left style="medium">
        <color rgb="FF16A34A"/>
      </left>
      <right/>
      <top/>
      <bottom/>
      <diagonal/>
    </border>
    <border>
      <left style="medium">
        <color rgb="FFD97706"/>
      </left>
      <right/>
      <top/>
      <bottom/>
      <diagonal/>
    </border>
    <border>
      <left style="medium">
        <color rgb="FF64748B"/>
      </left>
      <right/>
      <top/>
      <bottom/>
      <diagonal/>
    </border>
    <border>
      <left style="medium">
        <color rgb="FF2563EB"/>
      </left>
      <right/>
      <top/>
      <bottom/>
      <diagonal/>
    </border>
    <border>
      <left/>
      <right/>
      <top/>
      <bottom style="medium">
        <color rgb="FF16A34A"/>
      </bottom>
      <diagonal/>
    </border>
    <border>
      <left/>
      <right/>
      <top/>
      <bottom style="medium">
        <color rgb="FFDC2626"/>
      </bottom>
      <diagonal/>
    </border>
    <border>
      <left/>
      <right/>
      <top/>
      <bottom style="medium">
        <color rgb="FF2563EB"/>
      </bottom>
      <diagonal/>
    </border>
    <border>
      <left/>
      <right/>
      <top/>
      <bottom style="medium">
        <color rgb="FF0D9488"/>
      </bottom>
      <diagonal/>
    </border>
    <border>
      <left/>
      <right/>
      <top/>
      <bottom style="medium">
        <color rgb="FFEA580C"/>
      </bottom>
      <diagonal/>
    </border>
    <border>
      <left style="medium">
        <color rgb="FFD97706"/>
      </left>
      <right/>
      <top style="medium">
        <color rgb="FFD97706"/>
      </top>
      <bottom style="medium">
        <color rgb="FFD9770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6" fillId="0" borderId="0" applyBorder="0" applyAlignment="0" applyProtection="0"/>
    <xf numFmtId="44" fontId="86" fillId="0" borderId="0" applyBorder="0" applyAlignment="0" applyProtection="0"/>
    <xf numFmtId="9" fontId="86" fillId="0" borderId="0" applyBorder="0" applyAlignment="0" applyProtection="0"/>
    <xf numFmtId="41" fontId="86" fillId="0" borderId="0" applyBorder="0" applyAlignment="0" applyProtection="0"/>
    <xf numFmtId="42" fontId="86" fillId="0" borderId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24" borderId="14" applyNumberFormat="0" applyFon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15" applyNumberFormat="0" applyFill="0" applyAlignment="0" applyProtection="0">
      <alignment vertical="center"/>
    </xf>
    <xf numFmtId="0" fontId="94" fillId="0" borderId="15" applyNumberFormat="0" applyFill="0" applyAlignment="0" applyProtection="0">
      <alignment vertical="center"/>
    </xf>
    <xf numFmtId="0" fontId="95" fillId="0" borderId="16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25" borderId="17" applyNumberFormat="0" applyAlignment="0" applyProtection="0">
      <alignment vertical="center"/>
    </xf>
    <xf numFmtId="0" fontId="97" fillId="26" borderId="18" applyNumberFormat="0" applyAlignment="0" applyProtection="0">
      <alignment vertical="center"/>
    </xf>
    <xf numFmtId="0" fontId="98" fillId="26" borderId="17" applyNumberFormat="0" applyAlignment="0" applyProtection="0">
      <alignment vertical="center"/>
    </xf>
    <xf numFmtId="0" fontId="99" fillId="27" borderId="19" applyNumberFormat="0" applyAlignment="0" applyProtection="0">
      <alignment vertical="center"/>
    </xf>
    <xf numFmtId="0" fontId="100" fillId="0" borderId="20" applyNumberFormat="0" applyFill="0" applyAlignment="0" applyProtection="0">
      <alignment vertical="center"/>
    </xf>
    <xf numFmtId="0" fontId="101" fillId="0" borderId="21" applyNumberFormat="0" applyFill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30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6" fillId="33" borderId="0" applyNumberFormat="0" applyBorder="0" applyAlignment="0" applyProtection="0">
      <alignment vertical="center"/>
    </xf>
    <xf numFmtId="0" fontId="105" fillId="34" borderId="0" applyNumberFormat="0" applyBorder="0" applyAlignment="0" applyProtection="0">
      <alignment vertical="center"/>
    </xf>
    <xf numFmtId="0" fontId="105" fillId="35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5" fillId="38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5" fillId="42" borderId="0" applyNumberFormat="0" applyBorder="0" applyAlignment="0" applyProtection="0">
      <alignment vertical="center"/>
    </xf>
    <xf numFmtId="0" fontId="105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5" fillId="46" borderId="0" applyNumberFormat="0" applyBorder="0" applyAlignment="0" applyProtection="0">
      <alignment vertical="center"/>
    </xf>
    <xf numFmtId="0" fontId="105" fillId="47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</cellStyleXfs>
  <cellXfs count="352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0" fillId="3" borderId="1" xfId="0" applyFill="1" applyBorder="1"/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2" fillId="6" borderId="0" xfId="0" applyFont="1" applyFill="1" applyBorder="1" applyAlignment="1">
      <alignment horizontal="left" vertical="center"/>
    </xf>
    <xf numFmtId="0" fontId="0" fillId="6" borderId="1" xfId="0" applyFill="1" applyBorder="1"/>
    <xf numFmtId="0" fontId="5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left" vertical="center"/>
    </xf>
    <xf numFmtId="0" fontId="0" fillId="7" borderId="1" xfId="0" applyFill="1" applyBorder="1"/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2" fillId="8" borderId="0" xfId="0" applyFont="1" applyFill="1" applyBorder="1" applyAlignment="1">
      <alignment horizontal="left" vertical="center"/>
    </xf>
    <xf numFmtId="0" fontId="0" fillId="8" borderId="1" xfId="0" applyFill="1" applyBorder="1"/>
    <xf numFmtId="0" fontId="7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0" borderId="0" xfId="0" applyFont="1"/>
    <xf numFmtId="0" fontId="1" fillId="8" borderId="0" xfId="0" applyFont="1" applyFill="1" applyBorder="1" applyAlignment="1">
      <alignment horizontal="left" vertical="center"/>
    </xf>
    <xf numFmtId="0" fontId="8" fillId="4" borderId="0" xfId="0" applyFont="1" applyFill="1" applyBorder="1"/>
    <xf numFmtId="0" fontId="2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176" fontId="7" fillId="4" borderId="1" xfId="0" applyNumberFormat="1" applyFont="1" applyFill="1" applyBorder="1" applyAlignment="1">
      <alignment horizontal="left" vertical="center"/>
    </xf>
    <xf numFmtId="176" fontId="10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76" fontId="4" fillId="4" borderId="1" xfId="0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176" fontId="7" fillId="5" borderId="1" xfId="0" applyNumberFormat="1" applyFont="1" applyFill="1" applyBorder="1" applyAlignment="1">
      <alignment horizontal="left" vertical="center"/>
    </xf>
    <xf numFmtId="176" fontId="10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left" vertical="center"/>
    </xf>
    <xf numFmtId="177" fontId="7" fillId="5" borderId="1" xfId="0" applyNumberFormat="1" applyFont="1" applyFill="1" applyBorder="1" applyAlignment="1">
      <alignment horizontal="left" vertical="center"/>
    </xf>
    <xf numFmtId="177" fontId="10" fillId="5" borderId="1" xfId="0" applyNumberFormat="1" applyFont="1" applyFill="1" applyBorder="1" applyAlignment="1">
      <alignment horizontal="left" vertical="center"/>
    </xf>
    <xf numFmtId="177" fontId="4" fillId="5" borderId="1" xfId="0" applyNumberFormat="1" applyFont="1" applyFill="1" applyBorder="1" applyAlignment="1">
      <alignment horizontal="left" vertical="center"/>
    </xf>
    <xf numFmtId="177" fontId="7" fillId="4" borderId="1" xfId="0" applyNumberFormat="1" applyFont="1" applyFill="1" applyBorder="1" applyAlignment="1">
      <alignment horizontal="left" vertical="center"/>
    </xf>
    <xf numFmtId="177" fontId="10" fillId="4" borderId="1" xfId="0" applyNumberFormat="1" applyFont="1" applyFill="1" applyBorder="1" applyAlignment="1">
      <alignment horizontal="left" vertical="center"/>
    </xf>
    <xf numFmtId="177" fontId="4" fillId="4" borderId="1" xfId="0" applyNumberFormat="1" applyFont="1" applyFill="1" applyBorder="1" applyAlignment="1">
      <alignment horizontal="left" vertical="center"/>
    </xf>
    <xf numFmtId="1" fontId="7" fillId="5" borderId="1" xfId="0" applyNumberFormat="1" applyFont="1" applyFill="1" applyBorder="1" applyAlignment="1">
      <alignment horizontal="left" vertical="center"/>
    </xf>
    <xf numFmtId="1" fontId="10" fillId="5" borderId="1" xfId="0" applyNumberFormat="1" applyFont="1" applyFill="1" applyBorder="1" applyAlignment="1">
      <alignment horizontal="left" vertical="center"/>
    </xf>
    <xf numFmtId="1" fontId="4" fillId="5" borderId="1" xfId="0" applyNumberFormat="1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176" fontId="11" fillId="4" borderId="1" xfId="0" applyNumberFormat="1" applyFont="1" applyFill="1" applyBorder="1" applyAlignment="1">
      <alignment horizontal="left" vertical="center"/>
    </xf>
    <xf numFmtId="176" fontId="12" fillId="4" borderId="1" xfId="0" applyNumberFormat="1" applyFont="1" applyFill="1" applyBorder="1" applyAlignment="1">
      <alignment horizontal="left" vertical="center"/>
    </xf>
    <xf numFmtId="177" fontId="13" fillId="4" borderId="1" xfId="0" applyNumberFormat="1" applyFont="1" applyFill="1" applyBorder="1" applyAlignment="1">
      <alignment horizontal="left" vertical="center"/>
    </xf>
    <xf numFmtId="176" fontId="12" fillId="5" borderId="1" xfId="0" applyNumberFormat="1" applyFont="1" applyFill="1" applyBorder="1" applyAlignment="1">
      <alignment horizontal="left" vertical="center"/>
    </xf>
    <xf numFmtId="176" fontId="11" fillId="5" borderId="1" xfId="0" applyNumberFormat="1" applyFont="1" applyFill="1" applyBorder="1" applyAlignment="1">
      <alignment horizontal="left" vertical="center"/>
    </xf>
    <xf numFmtId="177" fontId="13" fillId="5" borderId="1" xfId="0" applyNumberFormat="1" applyFont="1" applyFill="1" applyBorder="1" applyAlignment="1">
      <alignment horizontal="left" vertical="center"/>
    </xf>
    <xf numFmtId="0" fontId="1" fillId="9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/>
    </xf>
    <xf numFmtId="178" fontId="4" fillId="4" borderId="1" xfId="0" applyNumberFormat="1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178" fontId="4" fillId="5" borderId="1" xfId="0" applyNumberFormat="1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left" vertical="center"/>
    </xf>
    <xf numFmtId="0" fontId="19" fillId="2" borderId="0" xfId="0" applyFont="1" applyFill="1" applyBorder="1" applyAlignment="1">
      <alignment horizontal="right" vertical="center"/>
    </xf>
    <xf numFmtId="178" fontId="20" fillId="6" borderId="0" xfId="0" applyNumberFormat="1" applyFont="1" applyFill="1"/>
    <xf numFmtId="0" fontId="1" fillId="13" borderId="0" xfId="0" applyFont="1" applyFill="1" applyBorder="1" applyAlignment="1">
      <alignment horizontal="left" vertical="center"/>
    </xf>
    <xf numFmtId="177" fontId="21" fillId="5" borderId="1" xfId="0" applyNumberFormat="1" applyFont="1" applyFill="1" applyBorder="1" applyAlignment="1">
      <alignment horizontal="left" vertical="center"/>
    </xf>
    <xf numFmtId="179" fontId="4" fillId="5" borderId="1" xfId="0" applyNumberFormat="1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/>
    </xf>
    <xf numFmtId="177" fontId="21" fillId="4" borderId="1" xfId="0" applyNumberFormat="1" applyFont="1" applyFill="1" applyBorder="1" applyAlignment="1">
      <alignment horizontal="left" vertical="center"/>
    </xf>
    <xf numFmtId="179" fontId="4" fillId="4" borderId="1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177" fontId="22" fillId="4" borderId="1" xfId="0" applyNumberFormat="1" applyFont="1" applyFill="1" applyBorder="1" applyAlignment="1">
      <alignment horizontal="left" vertical="center"/>
    </xf>
    <xf numFmtId="177" fontId="12" fillId="4" borderId="1" xfId="0" applyNumberFormat="1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center"/>
    </xf>
    <xf numFmtId="177" fontId="22" fillId="5" borderId="1" xfId="0" applyNumberFormat="1" applyFont="1" applyFill="1" applyBorder="1" applyAlignment="1">
      <alignment horizontal="left" vertical="center"/>
    </xf>
    <xf numFmtId="177" fontId="12" fillId="5" borderId="1" xfId="0" applyNumberFormat="1" applyFont="1" applyFill="1" applyBorder="1" applyAlignment="1">
      <alignment horizontal="left" vertical="center"/>
    </xf>
    <xf numFmtId="0" fontId="1" fillId="10" borderId="0" xfId="0" applyFont="1" applyFill="1" applyBorder="1" applyAlignment="1">
      <alignment horizontal="left" vertical="center"/>
    </xf>
    <xf numFmtId="0" fontId="19" fillId="10" borderId="0" xfId="0" applyFont="1" applyFill="1" applyBorder="1" applyAlignment="1">
      <alignment horizontal="center" vertical="center" wrapText="1"/>
    </xf>
    <xf numFmtId="0" fontId="19" fillId="6" borderId="0" xfId="0" applyFont="1" applyFill="1" applyBorder="1" applyAlignment="1">
      <alignment horizontal="center" vertical="center" wrapText="1"/>
    </xf>
    <xf numFmtId="0" fontId="11" fillId="4" borderId="3" xfId="0" applyFont="1" applyFill="1" applyBorder="1"/>
    <xf numFmtId="0" fontId="12" fillId="4" borderId="4" xfId="0" applyFont="1" applyFill="1" applyBorder="1"/>
    <xf numFmtId="0" fontId="11" fillId="5" borderId="3" xfId="0" applyFont="1" applyFill="1" applyBorder="1"/>
    <xf numFmtId="0" fontId="12" fillId="5" borderId="4" xfId="0" applyFont="1" applyFill="1" applyBorder="1"/>
    <xf numFmtId="0" fontId="19" fillId="9" borderId="0" xfId="0" applyFont="1" applyFill="1" applyBorder="1" applyAlignment="1">
      <alignment horizontal="center" vertical="center" wrapText="1"/>
    </xf>
    <xf numFmtId="0" fontId="19" fillId="14" borderId="0" xfId="0" applyFont="1" applyFill="1" applyBorder="1" applyAlignment="1">
      <alignment horizontal="center" vertical="center" wrapText="1"/>
    </xf>
    <xf numFmtId="0" fontId="10" fillId="4" borderId="5" xfId="0" applyFont="1" applyFill="1" applyBorder="1"/>
    <xf numFmtId="0" fontId="18" fillId="4" borderId="6" xfId="0" applyFont="1" applyFill="1" applyBorder="1"/>
    <xf numFmtId="0" fontId="10" fillId="5" borderId="5" xfId="0" applyFont="1" applyFill="1" applyBorder="1"/>
    <xf numFmtId="0" fontId="18" fillId="5" borderId="6" xfId="0" applyFont="1" applyFill="1" applyBorder="1"/>
    <xf numFmtId="0" fontId="2" fillId="14" borderId="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3" fillId="4" borderId="6" xfId="0" applyFont="1" applyFill="1" applyBorder="1"/>
    <xf numFmtId="0" fontId="24" fillId="4" borderId="5" xfId="0" applyFont="1" applyFill="1" applyBorder="1"/>
    <xf numFmtId="0" fontId="25" fillId="4" borderId="7" xfId="0" applyFont="1" applyFill="1" applyBorder="1"/>
    <xf numFmtId="0" fontId="24" fillId="4" borderId="4" xfId="0" applyFont="1" applyFill="1" applyBorder="1"/>
    <xf numFmtId="0" fontId="26" fillId="5" borderId="6" xfId="0" applyFont="1" applyFill="1" applyBorder="1"/>
    <xf numFmtId="0" fontId="24" fillId="5" borderId="5" xfId="0" applyFont="1" applyFill="1" applyBorder="1"/>
    <xf numFmtId="0" fontId="24" fillId="5" borderId="7" xfId="0" applyFont="1" applyFill="1" applyBorder="1"/>
    <xf numFmtId="0" fontId="24" fillId="5" borderId="4" xfId="0" applyFont="1" applyFill="1" applyBorder="1"/>
    <xf numFmtId="0" fontId="26" fillId="4" borderId="6" xfId="0" applyFont="1" applyFill="1" applyBorder="1"/>
    <xf numFmtId="0" fontId="26" fillId="4" borderId="7" xfId="0" applyFont="1" applyFill="1" applyBorder="1"/>
    <xf numFmtId="0" fontId="26" fillId="4" borderId="4" xfId="0" applyFont="1" applyFill="1" applyBorder="1"/>
    <xf numFmtId="0" fontId="23" fillId="5" borderId="6" xfId="0" applyFont="1" applyFill="1" applyBorder="1"/>
    <xf numFmtId="0" fontId="26" fillId="5" borderId="5" xfId="0" applyFont="1" applyFill="1" applyBorder="1"/>
    <xf numFmtId="0" fontId="26" fillId="5" borderId="4" xfId="0" applyFont="1" applyFill="1" applyBorder="1"/>
    <xf numFmtId="0" fontId="24" fillId="4" borderId="7" xfId="0" applyFont="1" applyFill="1" applyBorder="1"/>
    <xf numFmtId="0" fontId="1" fillId="12" borderId="0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80" fontId="4" fillId="5" borderId="1" xfId="0" applyNumberFormat="1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80" fontId="4" fillId="4" borderId="1" xfId="0" applyNumberFormat="1" applyFont="1" applyFill="1" applyBorder="1" applyAlignment="1">
      <alignment horizontal="left" vertical="center"/>
    </xf>
    <xf numFmtId="0" fontId="27" fillId="4" borderId="1" xfId="0" applyFont="1" applyFill="1" applyBorder="1" applyAlignment="1">
      <alignment horizontal="left" vertical="center"/>
    </xf>
    <xf numFmtId="0" fontId="27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27" fillId="4" borderId="2" xfId="0" applyFont="1" applyFill="1" applyBorder="1" applyAlignment="1">
      <alignment horizontal="left" vertical="center"/>
    </xf>
    <xf numFmtId="176" fontId="28" fillId="4" borderId="1" xfId="0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176" fontId="28" fillId="5" borderId="1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17" fillId="5" borderId="2" xfId="0" applyFont="1" applyFill="1" applyBorder="1" applyAlignment="1">
      <alignment horizontal="left" vertical="center"/>
    </xf>
    <xf numFmtId="0" fontId="21" fillId="4" borderId="2" xfId="0" applyFont="1" applyFill="1" applyBorder="1" applyAlignment="1">
      <alignment horizontal="left" vertical="center"/>
    </xf>
    <xf numFmtId="0" fontId="1" fillId="15" borderId="0" xfId="0" applyFont="1" applyFill="1" applyBorder="1" applyAlignment="1">
      <alignment horizontal="left" vertical="center"/>
    </xf>
    <xf numFmtId="0" fontId="16" fillId="16" borderId="1" xfId="0" applyFont="1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30" fillId="16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31" fillId="16" borderId="1" xfId="0" applyFont="1" applyFill="1" applyBorder="1" applyAlignment="1">
      <alignment horizontal="center" vertical="center"/>
    </xf>
    <xf numFmtId="0" fontId="32" fillId="16" borderId="1" xfId="0" applyFont="1" applyFill="1" applyBorder="1" applyAlignment="1">
      <alignment horizontal="center" vertical="center"/>
    </xf>
    <xf numFmtId="0" fontId="33" fillId="16" borderId="1" xfId="0" applyFont="1" applyFill="1" applyBorder="1" applyAlignment="1">
      <alignment horizontal="center" vertical="center"/>
    </xf>
    <xf numFmtId="0" fontId="34" fillId="16" borderId="1" xfId="0" applyFont="1" applyFill="1" applyBorder="1" applyAlignment="1">
      <alignment horizontal="center" vertical="center"/>
    </xf>
    <xf numFmtId="0" fontId="35" fillId="16" borderId="1" xfId="0" applyFont="1" applyFill="1" applyBorder="1" applyAlignment="1">
      <alignment horizontal="center" vertical="center"/>
    </xf>
    <xf numFmtId="0" fontId="36" fillId="16" borderId="1" xfId="0" applyFont="1" applyFill="1" applyBorder="1" applyAlignment="1">
      <alignment horizontal="center" vertical="center"/>
    </xf>
    <xf numFmtId="0" fontId="37" fillId="16" borderId="1" xfId="0" applyFont="1" applyFill="1" applyBorder="1" applyAlignment="1">
      <alignment horizontal="center" vertical="center"/>
    </xf>
    <xf numFmtId="0" fontId="38" fillId="16" borderId="1" xfId="0" applyFont="1" applyFill="1" applyBorder="1" applyAlignment="1">
      <alignment horizontal="center" vertical="center"/>
    </xf>
    <xf numFmtId="0" fontId="0" fillId="17" borderId="0" xfId="0" applyFill="1"/>
    <xf numFmtId="0" fontId="39" fillId="5" borderId="1" xfId="0" applyFont="1" applyFill="1" applyBorder="1" applyAlignment="1">
      <alignment horizontal="right" vertical="top"/>
    </xf>
    <xf numFmtId="0" fontId="40" fillId="16" borderId="1" xfId="0" applyFont="1" applyFill="1" applyBorder="1" applyAlignment="1">
      <alignment horizontal="right" vertical="top"/>
    </xf>
    <xf numFmtId="0" fontId="0" fillId="5" borderId="1" xfId="0" applyFill="1" applyBorder="1"/>
    <xf numFmtId="0" fontId="41" fillId="18" borderId="1" xfId="0" applyFont="1" applyFill="1" applyBorder="1" applyAlignment="1">
      <alignment horizontal="left" vertical="center" wrapText="1"/>
    </xf>
    <xf numFmtId="0" fontId="0" fillId="16" borderId="1" xfId="0" applyFill="1" applyBorder="1"/>
    <xf numFmtId="0" fontId="1" fillId="11" borderId="0" xfId="0" applyFont="1" applyFill="1" applyBorder="1" applyAlignment="1">
      <alignment horizontal="left" vertical="center"/>
    </xf>
    <xf numFmtId="0" fontId="42" fillId="2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43" fillId="11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2" fillId="19" borderId="1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9" fontId="46" fillId="4" borderId="1" xfId="0" applyNumberFormat="1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left" vertical="center"/>
    </xf>
    <xf numFmtId="0" fontId="45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9" fontId="46" fillId="5" borderId="1" xfId="0" applyNumberFormat="1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0" fontId="43" fillId="2" borderId="1" xfId="0" applyFont="1" applyFill="1" applyBorder="1"/>
    <xf numFmtId="0" fontId="1" fillId="7" borderId="0" xfId="0" applyFont="1" applyFill="1" applyBorder="1" applyAlignment="1">
      <alignment horizontal="left" vertical="center"/>
    </xf>
    <xf numFmtId="9" fontId="5" fillId="5" borderId="1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left" vertical="center"/>
    </xf>
    <xf numFmtId="9" fontId="17" fillId="4" borderId="1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left" vertical="center"/>
    </xf>
    <xf numFmtId="9" fontId="21" fillId="5" borderId="1" xfId="0" applyNumberFormat="1" applyFont="1" applyFill="1" applyBorder="1" applyAlignment="1">
      <alignment horizontal="center" vertical="center"/>
    </xf>
    <xf numFmtId="9" fontId="21" fillId="4" borderId="1" xfId="0" applyNumberFormat="1" applyFont="1" applyFill="1" applyBorder="1" applyAlignment="1">
      <alignment horizontal="center" vertical="center"/>
    </xf>
    <xf numFmtId="9" fontId="17" fillId="5" borderId="1" xfId="0" applyNumberFormat="1" applyFont="1" applyFill="1" applyBorder="1" applyAlignment="1">
      <alignment horizontal="center" vertical="center"/>
    </xf>
    <xf numFmtId="9" fontId="5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181" fontId="5" fillId="4" borderId="1" xfId="0" applyNumberFormat="1" applyFont="1" applyFill="1" applyBorder="1" applyAlignment="1">
      <alignment horizontal="left" vertical="center"/>
    </xf>
    <xf numFmtId="181" fontId="5" fillId="5" borderId="1" xfId="0" applyNumberFormat="1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181" fontId="21" fillId="4" borderId="1" xfId="0" applyNumberFormat="1" applyFont="1" applyFill="1" applyBorder="1" applyAlignment="1">
      <alignment horizontal="left" vertical="center"/>
    </xf>
    <xf numFmtId="181" fontId="21" fillId="5" borderId="1" xfId="0" applyNumberFormat="1" applyFont="1" applyFill="1" applyBorder="1" applyAlignment="1">
      <alignment horizontal="left" vertical="center"/>
    </xf>
    <xf numFmtId="0" fontId="19" fillId="2" borderId="0" xfId="0" applyFont="1" applyFill="1" applyAlignment="1">
      <alignment horizontal="right" vertical="center"/>
    </xf>
    <xf numFmtId="181" fontId="47" fillId="4" borderId="8" xfId="0" applyNumberFormat="1" applyFont="1" applyFill="1" applyBorder="1"/>
    <xf numFmtId="181" fontId="48" fillId="4" borderId="9" xfId="0" applyNumberFormat="1" applyFont="1" applyFill="1" applyBorder="1"/>
    <xf numFmtId="181" fontId="49" fillId="4" borderId="10" xfId="0" applyNumberFormat="1" applyFont="1" applyFill="1" applyBorder="1"/>
    <xf numFmtId="181" fontId="12" fillId="4" borderId="1" xfId="0" applyNumberFormat="1" applyFont="1" applyFill="1" applyBorder="1" applyAlignment="1">
      <alignment horizontal="left" vertical="center"/>
    </xf>
    <xf numFmtId="181" fontId="11" fillId="4" borderId="1" xfId="0" applyNumberFormat="1" applyFont="1" applyFill="1" applyBorder="1" applyAlignment="1">
      <alignment horizontal="left" vertical="center"/>
    </xf>
    <xf numFmtId="181" fontId="7" fillId="4" borderId="1" xfId="0" applyNumberFormat="1" applyFont="1" applyFill="1" applyBorder="1" applyAlignment="1">
      <alignment horizontal="left" vertical="center"/>
    </xf>
    <xf numFmtId="181" fontId="12" fillId="5" borderId="1" xfId="0" applyNumberFormat="1" applyFont="1" applyFill="1" applyBorder="1" applyAlignment="1">
      <alignment horizontal="left" vertical="center"/>
    </xf>
    <xf numFmtId="181" fontId="11" fillId="5" borderId="1" xfId="0" applyNumberFormat="1" applyFont="1" applyFill="1" applyBorder="1" applyAlignment="1">
      <alignment horizontal="left" vertical="center"/>
    </xf>
    <xf numFmtId="181" fontId="7" fillId="5" borderId="1" xfId="0" applyNumberFormat="1" applyFont="1" applyFill="1" applyBorder="1" applyAlignment="1">
      <alignment horizontal="left" vertical="center"/>
    </xf>
    <xf numFmtId="181" fontId="28" fillId="5" borderId="1" xfId="0" applyNumberFormat="1" applyFont="1" applyFill="1" applyBorder="1" applyAlignment="1">
      <alignment horizontal="left" vertical="center"/>
    </xf>
    <xf numFmtId="181" fontId="28" fillId="4" borderId="1" xfId="0" applyNumberFormat="1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178" fontId="18" fillId="4" borderId="1" xfId="0" applyNumberFormat="1" applyFont="1" applyFill="1" applyBorder="1" applyAlignment="1">
      <alignment horizontal="left" vertical="center"/>
    </xf>
    <xf numFmtId="178" fontId="9" fillId="4" borderId="1" xfId="0" applyNumberFormat="1" applyFont="1" applyFill="1" applyBorder="1" applyAlignment="1">
      <alignment horizontal="left" vertical="center"/>
    </xf>
    <xf numFmtId="178" fontId="6" fillId="4" borderId="1" xfId="0" applyNumberFormat="1" applyFont="1" applyFill="1" applyBorder="1" applyAlignment="1">
      <alignment horizontal="left" vertical="center"/>
    </xf>
    <xf numFmtId="10" fontId="4" fillId="4" borderId="1" xfId="0" applyNumberFormat="1" applyFont="1" applyFill="1" applyBorder="1" applyAlignment="1">
      <alignment horizontal="left" vertical="center"/>
    </xf>
    <xf numFmtId="178" fontId="18" fillId="5" borderId="1" xfId="0" applyNumberFormat="1" applyFont="1" applyFill="1" applyBorder="1" applyAlignment="1">
      <alignment horizontal="left" vertical="center"/>
    </xf>
    <xf numFmtId="178" fontId="9" fillId="5" borderId="1" xfId="0" applyNumberFormat="1" applyFont="1" applyFill="1" applyBorder="1" applyAlignment="1">
      <alignment horizontal="left" vertical="center"/>
    </xf>
    <xf numFmtId="178" fontId="6" fillId="5" borderId="1" xfId="0" applyNumberFormat="1" applyFont="1" applyFill="1" applyBorder="1" applyAlignment="1">
      <alignment horizontal="left" vertical="center"/>
    </xf>
    <xf numFmtId="10" fontId="4" fillId="5" borderId="1" xfId="0" applyNumberFormat="1" applyFont="1" applyFill="1" applyBorder="1" applyAlignment="1">
      <alignment horizontal="left" vertical="center"/>
    </xf>
    <xf numFmtId="178" fontId="2" fillId="2" borderId="1" xfId="0" applyNumberFormat="1" applyFont="1" applyFill="1" applyBorder="1" applyAlignment="1">
      <alignment horizontal="left" vertical="center"/>
    </xf>
    <xf numFmtId="0" fontId="18" fillId="5" borderId="0" xfId="0" applyFont="1" applyFill="1" applyAlignment="1">
      <alignment horizontal="left" vertical="center"/>
    </xf>
    <xf numFmtId="181" fontId="6" fillId="5" borderId="1" xfId="0" applyNumberFormat="1" applyFont="1" applyFill="1" applyBorder="1" applyAlignment="1">
      <alignment horizontal="left" vertical="center"/>
    </xf>
    <xf numFmtId="176" fontId="6" fillId="5" borderId="1" xfId="0" applyNumberFormat="1" applyFont="1" applyFill="1" applyBorder="1" applyAlignment="1">
      <alignment horizontal="left" vertical="center"/>
    </xf>
    <xf numFmtId="181" fontId="18" fillId="5" borderId="1" xfId="0" applyNumberFormat="1" applyFont="1" applyFill="1" applyBorder="1" applyAlignment="1">
      <alignment horizontal="left" vertical="center"/>
    </xf>
    <xf numFmtId="181" fontId="18" fillId="4" borderId="1" xfId="0" applyNumberFormat="1" applyFont="1" applyFill="1" applyBorder="1" applyAlignment="1">
      <alignment horizontal="left" vertical="center"/>
    </xf>
    <xf numFmtId="181" fontId="6" fillId="4" borderId="1" xfId="0" applyNumberFormat="1" applyFont="1" applyFill="1" applyBorder="1" applyAlignment="1">
      <alignment horizontal="left" vertical="center"/>
    </xf>
    <xf numFmtId="181" fontId="17" fillId="4" borderId="1" xfId="0" applyNumberFormat="1" applyFont="1" applyFill="1" applyBorder="1" applyAlignment="1">
      <alignment horizontal="left" vertical="center"/>
    </xf>
    <xf numFmtId="176" fontId="13" fillId="4" borderId="1" xfId="0" applyNumberFormat="1" applyFont="1" applyFill="1" applyBorder="1" applyAlignment="1">
      <alignment horizontal="left" vertical="center"/>
    </xf>
    <xf numFmtId="181" fontId="4" fillId="4" borderId="1" xfId="0" applyNumberFormat="1" applyFont="1" applyFill="1" applyBorder="1" applyAlignment="1">
      <alignment horizontal="left" vertical="center"/>
    </xf>
    <xf numFmtId="0" fontId="50" fillId="4" borderId="1" xfId="0" applyFont="1" applyFill="1" applyBorder="1"/>
    <xf numFmtId="181" fontId="17" fillId="5" borderId="1" xfId="0" applyNumberFormat="1" applyFont="1" applyFill="1" applyBorder="1" applyAlignment="1">
      <alignment horizontal="left" vertical="center"/>
    </xf>
    <xf numFmtId="176" fontId="13" fillId="5" borderId="1" xfId="0" applyNumberFormat="1" applyFont="1" applyFill="1" applyBorder="1" applyAlignment="1">
      <alignment horizontal="left" vertical="center"/>
    </xf>
    <xf numFmtId="181" fontId="4" fillId="5" borderId="1" xfId="0" applyNumberFormat="1" applyFont="1" applyFill="1" applyBorder="1" applyAlignment="1">
      <alignment horizontal="left" vertical="center"/>
    </xf>
    <xf numFmtId="0" fontId="50" fillId="5" borderId="1" xfId="0" applyFont="1" applyFill="1" applyBorder="1"/>
    <xf numFmtId="0" fontId="2" fillId="10" borderId="0" xfId="0" applyFont="1" applyFill="1" applyBorder="1" applyAlignment="1">
      <alignment horizontal="left" vertical="center"/>
    </xf>
    <xf numFmtId="10" fontId="10" fillId="4" borderId="1" xfId="0" applyNumberFormat="1" applyFont="1" applyFill="1" applyBorder="1" applyAlignment="1">
      <alignment horizontal="left" vertical="center"/>
    </xf>
    <xf numFmtId="181" fontId="51" fillId="4" borderId="1" xfId="0" applyNumberFormat="1" applyFont="1" applyFill="1" applyBorder="1" applyAlignment="1">
      <alignment horizontal="left" vertical="center"/>
    </xf>
    <xf numFmtId="182" fontId="4" fillId="4" borderId="1" xfId="0" applyNumberFormat="1" applyFont="1" applyFill="1" applyBorder="1" applyAlignment="1">
      <alignment horizontal="left" vertical="center"/>
    </xf>
    <xf numFmtId="10" fontId="10" fillId="5" borderId="1" xfId="0" applyNumberFormat="1" applyFont="1" applyFill="1" applyBorder="1" applyAlignment="1">
      <alignment horizontal="left" vertical="center"/>
    </xf>
    <xf numFmtId="181" fontId="51" fillId="5" borderId="1" xfId="0" applyNumberFormat="1" applyFont="1" applyFill="1" applyBorder="1" applyAlignment="1">
      <alignment horizontal="left" vertical="center"/>
    </xf>
    <xf numFmtId="182" fontId="4" fillId="5" borderId="1" xfId="0" applyNumberFormat="1" applyFont="1" applyFill="1" applyBorder="1" applyAlignment="1">
      <alignment horizontal="left" vertical="center"/>
    </xf>
    <xf numFmtId="181" fontId="2" fillId="2" borderId="1" xfId="0" applyNumberFormat="1" applyFont="1" applyFill="1" applyBorder="1" applyAlignment="1">
      <alignment horizontal="left" vertical="center"/>
    </xf>
    <xf numFmtId="178" fontId="14" fillId="5" borderId="1" xfId="0" applyNumberFormat="1" applyFont="1" applyFill="1" applyBorder="1" applyAlignment="1">
      <alignment horizontal="left" vertical="center"/>
    </xf>
    <xf numFmtId="178" fontId="10" fillId="5" borderId="1" xfId="0" applyNumberFormat="1" applyFont="1" applyFill="1" applyBorder="1" applyAlignment="1">
      <alignment horizontal="left" vertical="center"/>
    </xf>
    <xf numFmtId="178" fontId="14" fillId="4" borderId="1" xfId="0" applyNumberFormat="1" applyFont="1" applyFill="1" applyBorder="1" applyAlignment="1">
      <alignment horizontal="left" vertical="center"/>
    </xf>
    <xf numFmtId="178" fontId="10" fillId="4" borderId="1" xfId="0" applyNumberFormat="1" applyFont="1" applyFill="1" applyBorder="1" applyAlignment="1">
      <alignment horizontal="left" vertical="center"/>
    </xf>
    <xf numFmtId="178" fontId="20" fillId="12" borderId="0" xfId="0" applyNumberFormat="1" applyFont="1" applyFill="1" applyAlignment="1">
      <alignment horizontal="right" vertical="center"/>
    </xf>
    <xf numFmtId="178" fontId="20" fillId="9" borderId="0" xfId="0" applyNumberFormat="1" applyFont="1" applyFill="1"/>
    <xf numFmtId="178" fontId="17" fillId="4" borderId="1" xfId="0" applyNumberFormat="1" applyFont="1" applyFill="1" applyBorder="1" applyAlignment="1">
      <alignment horizontal="left" vertical="center"/>
    </xf>
    <xf numFmtId="178" fontId="51" fillId="4" borderId="1" xfId="0" applyNumberFormat="1" applyFont="1" applyFill="1" applyBorder="1" applyAlignment="1">
      <alignment horizontal="left" vertical="center"/>
    </xf>
    <xf numFmtId="178" fontId="17" fillId="5" borderId="1" xfId="0" applyNumberFormat="1" applyFont="1" applyFill="1" applyBorder="1" applyAlignment="1">
      <alignment horizontal="left" vertical="center"/>
    </xf>
    <xf numFmtId="178" fontId="51" fillId="5" borderId="1" xfId="0" applyNumberFormat="1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178" fontId="19" fillId="2" borderId="0" xfId="0" applyNumberFormat="1" applyFont="1" applyFill="1" applyAlignment="1">
      <alignment horizontal="right" vertical="center"/>
    </xf>
    <xf numFmtId="178" fontId="21" fillId="5" borderId="1" xfId="0" applyNumberFormat="1" applyFont="1" applyFill="1" applyBorder="1" applyAlignment="1">
      <alignment horizontal="right" vertical="center"/>
    </xf>
    <xf numFmtId="178" fontId="21" fillId="4" borderId="1" xfId="0" applyNumberFormat="1" applyFont="1" applyFill="1" applyBorder="1" applyAlignment="1">
      <alignment horizontal="right" vertical="center"/>
    </xf>
    <xf numFmtId="178" fontId="20" fillId="10" borderId="0" xfId="0" applyNumberFormat="1" applyFont="1" applyFill="1" applyAlignment="1">
      <alignment horizontal="right" vertical="center"/>
    </xf>
    <xf numFmtId="0" fontId="2" fillId="10" borderId="2" xfId="0" applyFont="1" applyFill="1" applyBorder="1" applyAlignment="1">
      <alignment horizontal="center" vertical="center"/>
    </xf>
    <xf numFmtId="178" fontId="11" fillId="4" borderId="1" xfId="0" applyNumberFormat="1" applyFont="1" applyFill="1" applyBorder="1" applyAlignment="1">
      <alignment horizontal="left" vertical="center"/>
    </xf>
    <xf numFmtId="181" fontId="10" fillId="4" borderId="1" xfId="0" applyNumberFormat="1" applyFont="1" applyFill="1" applyBorder="1" applyAlignment="1">
      <alignment horizontal="left" vertical="center"/>
    </xf>
    <xf numFmtId="178" fontId="11" fillId="5" borderId="1" xfId="0" applyNumberFormat="1" applyFont="1" applyFill="1" applyBorder="1" applyAlignment="1">
      <alignment horizontal="left" vertical="center"/>
    </xf>
    <xf numFmtId="181" fontId="10" fillId="5" borderId="1" xfId="0" applyNumberFormat="1" applyFont="1" applyFill="1" applyBorder="1" applyAlignment="1">
      <alignment horizontal="left" vertical="center"/>
    </xf>
    <xf numFmtId="0" fontId="1" fillId="6" borderId="0" xfId="0" applyFont="1" applyFill="1" applyBorder="1" applyAlignment="1">
      <alignment horizontal="left" vertical="center"/>
    </xf>
    <xf numFmtId="178" fontId="5" fillId="5" borderId="1" xfId="0" applyNumberFormat="1" applyFont="1" applyFill="1" applyBorder="1" applyAlignment="1">
      <alignment horizontal="right" vertical="center"/>
    </xf>
    <xf numFmtId="178" fontId="5" fillId="4" borderId="1" xfId="0" applyNumberFormat="1" applyFont="1" applyFill="1" applyBorder="1" applyAlignment="1">
      <alignment horizontal="right" vertical="center"/>
    </xf>
    <xf numFmtId="178" fontId="20" fillId="6" borderId="0" xfId="0" applyNumberFormat="1" applyFont="1" applyFill="1" applyAlignment="1">
      <alignment horizontal="right" vertical="center"/>
    </xf>
    <xf numFmtId="0" fontId="2" fillId="7" borderId="2" xfId="0" applyFont="1" applyFill="1" applyBorder="1" applyAlignment="1">
      <alignment horizontal="center" vertical="center"/>
    </xf>
    <xf numFmtId="178" fontId="12" fillId="4" borderId="1" xfId="0" applyNumberFormat="1" applyFont="1" applyFill="1" applyBorder="1" applyAlignment="1">
      <alignment horizontal="left" vertical="center"/>
    </xf>
    <xf numFmtId="178" fontId="12" fillId="5" borderId="1" xfId="0" applyNumberFormat="1" applyFont="1" applyFill="1" applyBorder="1" applyAlignment="1">
      <alignment horizontal="left" vertical="center"/>
    </xf>
    <xf numFmtId="0" fontId="0" fillId="6" borderId="0" xfId="0" applyFill="1"/>
    <xf numFmtId="0" fontId="0" fillId="10" borderId="0" xfId="0" applyFill="1"/>
    <xf numFmtId="0" fontId="0" fillId="3" borderId="0" xfId="0" applyFill="1"/>
    <xf numFmtId="0" fontId="0" fillId="7" borderId="0" xfId="0" applyFill="1"/>
    <xf numFmtId="0" fontId="52" fillId="4" borderId="0" xfId="0" applyFont="1" applyFill="1" applyBorder="1" applyAlignment="1">
      <alignment horizontal="center" vertical="center"/>
    </xf>
    <xf numFmtId="181" fontId="53" fillId="5" borderId="0" xfId="0" applyNumberFormat="1" applyFont="1" applyFill="1" applyBorder="1" applyAlignment="1">
      <alignment horizontal="center" vertical="center"/>
    </xf>
    <xf numFmtId="181" fontId="54" fillId="5" borderId="0" xfId="0" applyNumberFormat="1" applyFont="1" applyFill="1" applyBorder="1" applyAlignment="1">
      <alignment horizontal="center" vertical="center"/>
    </xf>
    <xf numFmtId="181" fontId="55" fillId="5" borderId="0" xfId="0" applyNumberFormat="1" applyFont="1" applyFill="1" applyBorder="1" applyAlignment="1">
      <alignment horizontal="center" vertical="center"/>
    </xf>
    <xf numFmtId="176" fontId="56" fillId="5" borderId="0" xfId="0" applyNumberFormat="1" applyFont="1" applyFill="1" applyBorder="1" applyAlignment="1">
      <alignment horizontal="center" vertical="center"/>
    </xf>
    <xf numFmtId="0" fontId="0" fillId="12" borderId="0" xfId="0" applyFill="1"/>
    <xf numFmtId="0" fontId="0" fillId="11" borderId="0" xfId="0" applyFill="1"/>
    <xf numFmtId="1" fontId="56" fillId="5" borderId="0" xfId="0" applyNumberFormat="1" applyFont="1" applyFill="1" applyBorder="1" applyAlignment="1">
      <alignment horizontal="center" vertical="center"/>
    </xf>
    <xf numFmtId="1" fontId="53" fillId="5" borderId="0" xfId="0" applyNumberFormat="1" applyFont="1" applyFill="1" applyBorder="1" applyAlignment="1">
      <alignment horizontal="center" vertical="center"/>
    </xf>
    <xf numFmtId="1" fontId="57" fillId="5" borderId="0" xfId="0" applyNumberFormat="1" applyFont="1" applyFill="1" applyBorder="1" applyAlignment="1">
      <alignment horizontal="center" vertical="center"/>
    </xf>
    <xf numFmtId="176" fontId="58" fillId="5" borderId="0" xfId="0" applyNumberFormat="1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left" vertical="center"/>
    </xf>
    <xf numFmtId="0" fontId="0" fillId="13" borderId="0" xfId="0" applyFill="1"/>
    <xf numFmtId="0" fontId="0" fillId="8" borderId="0" xfId="0" applyFill="1"/>
    <xf numFmtId="177" fontId="59" fillId="5" borderId="0" xfId="0" applyNumberFormat="1" applyFont="1" applyFill="1" applyBorder="1" applyAlignment="1">
      <alignment horizontal="center" vertical="center"/>
    </xf>
    <xf numFmtId="177" fontId="55" fillId="5" borderId="0" xfId="0" applyNumberFormat="1" applyFont="1" applyFill="1" applyBorder="1" applyAlignment="1">
      <alignment horizontal="center" vertical="center"/>
    </xf>
    <xf numFmtId="177" fontId="60" fillId="5" borderId="0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81" fontId="5" fillId="4" borderId="2" xfId="0" applyNumberFormat="1" applyFont="1" applyFill="1" applyBorder="1" applyAlignment="1">
      <alignment horizontal="center" vertical="center"/>
    </xf>
    <xf numFmtId="181" fontId="21" fillId="4" borderId="2" xfId="0" applyNumberFormat="1" applyFont="1" applyFill="1" applyBorder="1" applyAlignment="1">
      <alignment horizontal="center" vertical="center"/>
    </xf>
    <xf numFmtId="181" fontId="3" fillId="4" borderId="2" xfId="0" applyNumberFormat="1" applyFont="1" applyFill="1" applyBorder="1" applyAlignment="1">
      <alignment horizontal="center" vertical="center"/>
    </xf>
    <xf numFmtId="181" fontId="7" fillId="4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81" fontId="5" fillId="5" borderId="2" xfId="0" applyNumberFormat="1" applyFont="1" applyFill="1" applyBorder="1" applyAlignment="1">
      <alignment horizontal="center" vertical="center"/>
    </xf>
    <xf numFmtId="181" fontId="21" fillId="5" borderId="2" xfId="0" applyNumberFormat="1" applyFont="1" applyFill="1" applyBorder="1" applyAlignment="1">
      <alignment horizontal="center" vertical="center"/>
    </xf>
    <xf numFmtId="181" fontId="3" fillId="5" borderId="2" xfId="0" applyNumberFormat="1" applyFont="1" applyFill="1" applyBorder="1" applyAlignment="1">
      <alignment horizontal="center" vertical="center"/>
    </xf>
    <xf numFmtId="181" fontId="7" fillId="5" borderId="2" xfId="0" applyNumberFormat="1" applyFont="1" applyFill="1" applyBorder="1" applyAlignment="1">
      <alignment horizontal="center" vertical="center"/>
    </xf>
    <xf numFmtId="0" fontId="1" fillId="14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4" fillId="5" borderId="1" xfId="0" applyFont="1" applyFill="1" applyBorder="1"/>
    <xf numFmtId="0" fontId="4" fillId="4" borderId="1" xfId="0" applyFont="1" applyFill="1" applyBorder="1"/>
    <xf numFmtId="0" fontId="61" fillId="2" borderId="0" xfId="0" applyFont="1" applyFill="1" applyBorder="1" applyAlignment="1">
      <alignment horizontal="left" vertical="center"/>
    </xf>
    <xf numFmtId="0" fontId="62" fillId="4" borderId="0" xfId="0" applyFont="1" applyFill="1" applyBorder="1" applyAlignment="1">
      <alignment horizontal="left" vertical="center"/>
    </xf>
    <xf numFmtId="0" fontId="0" fillId="9" borderId="0" xfId="0" applyFill="1"/>
    <xf numFmtId="0" fontId="0" fillId="15" borderId="0" xfId="0" applyFill="1"/>
    <xf numFmtId="0" fontId="0" fillId="14" borderId="0" xfId="0" applyFill="1"/>
    <xf numFmtId="0" fontId="19" fillId="14" borderId="0" xfId="0" applyFont="1" applyFill="1" applyBorder="1" applyAlignment="1">
      <alignment horizontal="left" vertical="center"/>
    </xf>
    <xf numFmtId="0" fontId="19" fillId="3" borderId="0" xfId="0" applyFont="1" applyFill="1" applyBorder="1" applyAlignment="1">
      <alignment horizontal="left" vertical="center"/>
    </xf>
    <xf numFmtId="0" fontId="19" fillId="6" borderId="0" xfId="0" applyFont="1" applyFill="1" applyBorder="1" applyAlignment="1">
      <alignment horizontal="left" vertical="center"/>
    </xf>
    <xf numFmtId="0" fontId="19" fillId="10" borderId="0" xfId="0" applyFont="1" applyFill="1" applyBorder="1" applyAlignment="1">
      <alignment horizontal="left" vertical="center"/>
    </xf>
    <xf numFmtId="0" fontId="15" fillId="5" borderId="2" xfId="0" applyFont="1" applyFill="1" applyBorder="1" applyAlignment="1">
      <alignment horizontal="left" vertical="center"/>
    </xf>
    <xf numFmtId="0" fontId="63" fillId="4" borderId="0" xfId="0" applyFont="1" applyFill="1" applyBorder="1" applyAlignment="1">
      <alignment horizontal="left" vertical="center"/>
    </xf>
    <xf numFmtId="0" fontId="64" fillId="4" borderId="0" xfId="0" applyFont="1" applyFill="1" applyBorder="1" applyAlignment="1">
      <alignment horizontal="left" vertical="center"/>
    </xf>
    <xf numFmtId="0" fontId="65" fillId="4" borderId="0" xfId="0" applyFont="1" applyFill="1" applyBorder="1" applyAlignment="1">
      <alignment horizontal="left" vertical="center"/>
    </xf>
    <xf numFmtId="0" fontId="66" fillId="4" borderId="0" xfId="0" applyFont="1" applyFill="1" applyBorder="1" applyAlignment="1">
      <alignment horizontal="left" vertical="center"/>
    </xf>
    <xf numFmtId="0" fontId="0" fillId="20" borderId="0" xfId="0" applyFill="1"/>
    <xf numFmtId="0" fontId="19" fillId="9" borderId="0" xfId="0" applyFont="1" applyFill="1" applyBorder="1" applyAlignment="1">
      <alignment horizontal="left" vertical="center"/>
    </xf>
    <xf numFmtId="0" fontId="19" fillId="8" borderId="0" xfId="0" applyFont="1" applyFill="1" applyBorder="1" applyAlignment="1">
      <alignment horizontal="left" vertical="center"/>
    </xf>
    <xf numFmtId="0" fontId="19" fillId="7" borderId="0" xfId="0" applyFont="1" applyFill="1" applyBorder="1" applyAlignment="1">
      <alignment horizontal="left" vertical="center"/>
    </xf>
    <xf numFmtId="0" fontId="19" fillId="12" borderId="0" xfId="0" applyFont="1" applyFill="1" applyBorder="1" applyAlignment="1">
      <alignment horizontal="left" vertical="center"/>
    </xf>
    <xf numFmtId="0" fontId="67" fillId="4" borderId="0" xfId="0" applyFont="1" applyFill="1" applyBorder="1" applyAlignment="1">
      <alignment horizontal="left" vertical="center"/>
    </xf>
    <xf numFmtId="0" fontId="68" fillId="4" borderId="0" xfId="0" applyFont="1" applyFill="1" applyBorder="1" applyAlignment="1">
      <alignment horizontal="left" vertical="center"/>
    </xf>
    <xf numFmtId="0" fontId="69" fillId="4" borderId="0" xfId="0" applyFont="1" applyFill="1" applyBorder="1" applyAlignment="1">
      <alignment horizontal="left" vertical="center"/>
    </xf>
    <xf numFmtId="0" fontId="70" fillId="4" borderId="0" xfId="0" applyFont="1" applyFill="1" applyBorder="1" applyAlignment="1">
      <alignment horizontal="left" vertical="center"/>
    </xf>
    <xf numFmtId="0" fontId="19" fillId="11" borderId="0" xfId="0" applyFont="1" applyFill="1" applyBorder="1" applyAlignment="1">
      <alignment horizontal="left" vertical="center"/>
    </xf>
    <xf numFmtId="0" fontId="19" fillId="15" borderId="0" xfId="0" applyFont="1" applyFill="1" applyBorder="1" applyAlignment="1">
      <alignment horizontal="left" vertical="center"/>
    </xf>
    <xf numFmtId="0" fontId="71" fillId="4" borderId="0" xfId="0" applyFont="1" applyFill="1" applyBorder="1" applyAlignment="1">
      <alignment horizontal="left" vertical="center"/>
    </xf>
    <xf numFmtId="0" fontId="72" fillId="4" borderId="0" xfId="0" applyFont="1" applyFill="1" applyBorder="1" applyAlignment="1">
      <alignment horizontal="left" vertical="center"/>
    </xf>
    <xf numFmtId="0" fontId="0" fillId="2" borderId="0" xfId="0" applyFill="1"/>
    <xf numFmtId="0" fontId="19" fillId="2" borderId="0" xfId="0" applyFont="1" applyFill="1" applyBorder="1" applyAlignment="1">
      <alignment horizontal="left" vertical="center"/>
    </xf>
    <xf numFmtId="0" fontId="19" fillId="13" borderId="0" xfId="0" applyFont="1" applyFill="1" applyBorder="1" applyAlignment="1">
      <alignment horizontal="left" vertical="center"/>
    </xf>
    <xf numFmtId="0" fontId="73" fillId="4" borderId="0" xfId="0" applyFont="1" applyFill="1" applyBorder="1" applyAlignment="1">
      <alignment horizontal="left" vertical="center"/>
    </xf>
    <xf numFmtId="0" fontId="74" fillId="4" borderId="0" xfId="0" applyFont="1" applyFill="1" applyBorder="1" applyAlignment="1">
      <alignment horizontal="left" vertical="center"/>
    </xf>
    <xf numFmtId="181" fontId="75" fillId="5" borderId="8" xfId="0" applyNumberFormat="1" applyFont="1" applyFill="1" applyBorder="1" applyAlignment="1">
      <alignment horizontal="center" vertical="center"/>
    </xf>
    <xf numFmtId="181" fontId="76" fillId="5" borderId="9" xfId="0" applyNumberFormat="1" applyFont="1" applyFill="1" applyBorder="1" applyAlignment="1">
      <alignment horizontal="center" vertical="center"/>
    </xf>
    <xf numFmtId="1" fontId="77" fillId="5" borderId="11" xfId="0" applyNumberFormat="1" applyFont="1" applyFill="1" applyBorder="1" applyAlignment="1">
      <alignment horizontal="center" vertical="center"/>
    </xf>
    <xf numFmtId="1" fontId="78" fillId="5" borderId="12" xfId="0" applyNumberFormat="1" applyFont="1" applyFill="1" applyBorder="1" applyAlignment="1">
      <alignment horizontal="center" vertical="center"/>
    </xf>
    <xf numFmtId="0" fontId="79" fillId="2" borderId="0" xfId="0" applyFont="1" applyFill="1" applyBorder="1" applyAlignment="1">
      <alignment horizontal="center" vertical="center"/>
    </xf>
    <xf numFmtId="0" fontId="80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81" fillId="21" borderId="0" xfId="0" applyFont="1" applyFill="1" applyBorder="1" applyAlignment="1">
      <alignment horizontal="center" vertical="center"/>
    </xf>
    <xf numFmtId="0" fontId="82" fillId="22" borderId="0" xfId="0" applyFont="1" applyFill="1" applyBorder="1" applyAlignment="1">
      <alignment horizontal="center" vertical="center"/>
    </xf>
    <xf numFmtId="0" fontId="83" fillId="23" borderId="13" xfId="0" applyFont="1" applyFill="1" applyBorder="1" applyAlignment="1">
      <alignment horizontal="center" vertical="center"/>
    </xf>
    <xf numFmtId="0" fontId="19" fillId="22" borderId="0" xfId="0" applyFont="1" applyFill="1" applyBorder="1" applyAlignment="1">
      <alignment horizontal="center" vertical="center"/>
    </xf>
    <xf numFmtId="0" fontId="84" fillId="2" borderId="0" xfId="0" applyFont="1" applyFill="1" applyBorder="1" applyAlignment="1">
      <alignment horizontal="center" vertical="center"/>
    </xf>
    <xf numFmtId="0" fontId="82" fillId="2" borderId="0" xfId="0" applyFont="1" applyFill="1" applyBorder="1" applyAlignment="1">
      <alignment horizontal="center" vertical="center"/>
    </xf>
    <xf numFmtId="0" fontId="85" fillId="2" borderId="0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66534"/>
      <rgbColor rgb="00000080"/>
      <rgbColor rgb="0065A30D"/>
      <rgbColor rgb="00800080"/>
      <rgbColor rgb="000D9488"/>
      <rgbColor rgb="00D9D9D9"/>
      <rgbColor rgb="00878787"/>
      <rgbColor rgb="0093C5FD"/>
      <rgbColor rgb="00DB2777"/>
      <rgbColor rgb="00F8FAFC"/>
      <rgbColor rgb="00EFF6FF"/>
      <rgbColor rgb="00660066"/>
      <rgbColor rgb="00FF8080"/>
      <rgbColor rgb="001E40AF"/>
      <rgbColor rgb="00CBD5E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EA5E9"/>
      <rgbColor rgb="00F1F5F9"/>
      <rgbColor rgb="00F3E8FF"/>
      <rgbColor rgb="00FEF08A"/>
      <rgbColor rgb="0090CAF9"/>
      <rgbColor rgb="00FF99CC"/>
      <rgbColor rgb="00CC99FF"/>
      <rgbColor rgb="00FFCC99"/>
      <rgbColor rgb="002563EB"/>
      <rgbColor rgb="0033CCCC"/>
      <rgbColor rgb="0099CC00"/>
      <rgbColor rgb="00FFCC00"/>
      <rgbColor rgb="00D97706"/>
      <rgbColor rgb="00EA580C"/>
      <rgbColor rgb="0064748B"/>
      <rgbColor rgb="006B7280"/>
      <rgbColor rgb="001E3A5F"/>
      <rgbColor rgb="0016A34A"/>
      <rgbColor rgb="00003300"/>
      <rgbColor rgb="00333300"/>
      <rgbColor rgb="00993300"/>
      <rgbColor rgb="007C3AED"/>
      <rgbColor rgb="001E3A8A"/>
      <rgbColor rgb="00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Monthly Income vs Expenses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DASHBOARD!$C$23</c:f>
              <c:strCache>
                <c:ptCount val="1"/>
                <c:pt idx="0">
                  <c:v>Income</c:v>
                </c:pt>
              </c:strCache>
            </c:strRef>
          </c:tx>
          <c:spPr>
            <a:ln w="24840" cap="rnd" cmpd="sng" algn="ctr">
              <a:solidFill>
                <a:srgbClr val="16A34A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16A34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DASHBOARD!$A$24:$A$29</c:f>
              <c:strCache>
                <c:ptCount val="6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</c:strCache>
            </c:strRef>
          </c:cat>
          <c:val>
            <c:numRef>
              <c:f>DASHBOARD!$C$24:$C$29</c:f>
              <c:numCache>
                <c:formatCode>"$"#,##0</c:formatCode>
                <c:ptCount val="6"/>
                <c:pt idx="0">
                  <c:v>5000</c:v>
                </c:pt>
                <c:pt idx="1">
                  <c:v>5000</c:v>
                </c:pt>
                <c:pt idx="2">
                  <c:v>5350</c:v>
                </c:pt>
                <c:pt idx="3">
                  <c:v>5000</c:v>
                </c:pt>
                <c:pt idx="4">
                  <c:v>5500</c:v>
                </c:pt>
                <c:pt idx="5">
                  <c:v>5000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DASHBOARD!$E$23</c:f>
              <c:strCache>
                <c:ptCount val="1"/>
                <c:pt idx="0">
                  <c:v>Expenses</c:v>
                </c:pt>
              </c:strCache>
            </c:strRef>
          </c:tx>
          <c:spPr>
            <a:ln w="24840" cap="rnd" cmpd="sng" algn="ctr">
              <a:solidFill>
                <a:srgbClr val="DC262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DC262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DASHBOARD!$A$24:$A$29</c:f>
              <c:strCache>
                <c:ptCount val="6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</c:strCache>
            </c:strRef>
          </c:cat>
          <c:val>
            <c:numRef>
              <c:f>DASHBOARD!$E$24:$E$29</c:f>
              <c:numCache>
                <c:formatCode>"$"#,##0</c:formatCode>
                <c:ptCount val="6"/>
                <c:pt idx="0">
                  <c:v>3450</c:v>
                </c:pt>
                <c:pt idx="1">
                  <c:v>3200</c:v>
                </c:pt>
                <c:pt idx="2">
                  <c:v>3600</c:v>
                </c:pt>
                <c:pt idx="3">
                  <c:v>3100</c:v>
                </c:pt>
                <c:pt idx="4">
                  <c:v>3400</c:v>
                </c:pt>
                <c:pt idx="5">
                  <c:v>3250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1"/>
        <c:smooth val="1"/>
        <c:axId val="48872302"/>
        <c:axId val="33495033"/>
      </c:lineChart>
      <c:catAx>
        <c:axId val="4887230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Month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3495033"/>
        <c:crosses val="autoZero"/>
        <c:auto val="1"/>
        <c:lblAlgn val="ctr"/>
        <c:lblOffset val="100"/>
        <c:noMultiLvlLbl val="0"/>
      </c:catAx>
      <c:valAx>
        <c:axId val="33495033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($)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&quot;$&quot;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88723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e97c8a-1e4a-431c-990c-eb1c08096658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Net Worth Growth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DASHBOARD!$I$23</c:f>
              <c:strCache>
                <c:ptCount val="1"/>
                <c:pt idx="0">
                  <c:v>Net Worth</c:v>
                </c:pt>
              </c:strCache>
            </c:strRef>
          </c:tx>
          <c:spPr>
            <a:ln w="24840" cap="rnd" cmpd="sng" algn="ctr">
              <a:solidFill>
                <a:srgbClr val="7C3AED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7C3AE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DASHBOARD!$A$24:$A$29</c:f>
              <c:strCache>
                <c:ptCount val="6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</c:strCache>
            </c:strRef>
          </c:cat>
          <c:val>
            <c:numRef>
              <c:f>DASHBOARD!$I$24:$I$29</c:f>
              <c:numCache>
                <c:formatCode>"$"#,##0</c:formatCode>
                <c:ptCount val="6"/>
                <c:pt idx="0">
                  <c:v>42000</c:v>
                </c:pt>
                <c:pt idx="1">
                  <c:v>42500</c:v>
                </c:pt>
                <c:pt idx="2">
                  <c:v>43200</c:v>
                </c:pt>
                <c:pt idx="3">
                  <c:v>44100</c:v>
                </c:pt>
                <c:pt idx="4">
                  <c:v>45000</c:v>
                </c:pt>
                <c:pt idx="5">
                  <c:v>46200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1"/>
        <c:smooth val="1"/>
        <c:axId val="14698118"/>
        <c:axId val="8950700"/>
      </c:lineChart>
      <c:catAx>
        <c:axId val="146981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950700"/>
        <c:crosses val="autoZero"/>
        <c:auto val="1"/>
        <c:lblAlgn val="ctr"/>
        <c:lblOffset val="100"/>
        <c:noMultiLvlLbl val="0"/>
      </c:catAx>
      <c:valAx>
        <c:axId val="8950700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Net Worth ($)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&quot;$&quot;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46981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7d2dfa8-17f3-4910-a77b-442d1c0a0275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Income by Source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INCOME!$C$22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6A34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INCOME!$A$23:$A$31</c:f>
              <c:strCache>
                <c:ptCount val="9"/>
                <c:pt idx="0">
                  <c:v>Salary</c:v>
                </c:pt>
                <c:pt idx="1">
                  <c:v>Freelance</c:v>
                </c:pt>
                <c:pt idx="2">
                  <c:v>Business</c:v>
                </c:pt>
                <c:pt idx="3">
                  <c:v>Investments</c:v>
                </c:pt>
                <c:pt idx="4">
                  <c:v>Rental</c:v>
                </c:pt>
                <c:pt idx="5">
                  <c:v>Side Hustle</c:v>
                </c:pt>
                <c:pt idx="6">
                  <c:v>Bonus</c:v>
                </c:pt>
                <c:pt idx="7">
                  <c:v>Gifts</c:v>
                </c:pt>
                <c:pt idx="8">
                  <c:v>Other</c:v>
                </c:pt>
              </c:strCache>
            </c:strRef>
          </c:cat>
          <c:val>
            <c:numRef>
              <c:f>INCOME!$C$23:$C$31</c:f>
              <c:numCache>
                <c:formatCode>"$"#,##0.00</c:formatCode>
                <c:ptCount val="9"/>
                <c:pt idx="0">
                  <c:v>28000</c:v>
                </c:pt>
                <c:pt idx="1">
                  <c:v>1000</c:v>
                </c:pt>
                <c:pt idx="2">
                  <c:v>0</c:v>
                </c:pt>
                <c:pt idx="3">
                  <c:v>502.5</c:v>
                </c:pt>
                <c:pt idx="4">
                  <c:v>600</c:v>
                </c:pt>
                <c:pt idx="5">
                  <c:v>520</c:v>
                </c:pt>
                <c:pt idx="6">
                  <c:v>800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94329128"/>
        <c:axId val="79299566"/>
      </c:barChart>
      <c:catAx>
        <c:axId val="9432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9299566"/>
        <c:crosses val="autoZero"/>
        <c:auto val="1"/>
        <c:lblAlgn val="ctr"/>
        <c:lblOffset val="100"/>
        <c:noMultiLvlLbl val="0"/>
      </c:catAx>
      <c:valAx>
        <c:axId val="7929956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Amount ($)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&quot;$&quot;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43291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e721d8-bea3-48df-b699-bdbdd0d9f3aa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Actual Spending vs Budget by Category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EXPENSES!$C$32</c:f>
              <c:strCache>
                <c:ptCount val="1"/>
                <c:pt idx="0">
                  <c:v>Total Spent</c:v>
                </c:pt>
              </c:strCache>
            </c:strRef>
          </c:tx>
          <c:spPr>
            <a:solidFill>
              <a:srgbClr val="DC262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EXPENSES!$A$33:$A$44</c:f>
              <c:strCache>
                <c:ptCount val="12"/>
                <c:pt idx="0">
                  <c:v>Housing</c:v>
                </c:pt>
                <c:pt idx="1">
                  <c:v>Food &amp; Dining</c:v>
                </c:pt>
                <c:pt idx="2">
                  <c:v>Transportation</c:v>
                </c:pt>
                <c:pt idx="3">
                  <c:v>Healthcare</c:v>
                </c:pt>
                <c:pt idx="4">
                  <c:v>Entertainment</c:v>
                </c:pt>
                <c:pt idx="5">
                  <c:v>Shopping</c:v>
                </c:pt>
                <c:pt idx="6">
                  <c:v>Education</c:v>
                </c:pt>
                <c:pt idx="7">
                  <c:v>Utilities</c:v>
                </c:pt>
                <c:pt idx="8">
                  <c:v>Insurance</c:v>
                </c:pt>
                <c:pt idx="9">
                  <c:v>Personal Care</c:v>
                </c:pt>
                <c:pt idx="10">
                  <c:v>Subscriptions</c:v>
                </c:pt>
                <c:pt idx="11">
                  <c:v>Other</c:v>
                </c:pt>
              </c:strCache>
            </c:strRef>
          </c:cat>
          <c:val>
            <c:numRef>
              <c:f>EXPENSES!$C$33:$C$44</c:f>
              <c:numCache>
                <c:formatCode>"$"#,##0.00</c:formatCode>
                <c:ptCount val="12"/>
                <c:pt idx="0">
                  <c:v>4500</c:v>
                </c:pt>
                <c:pt idx="1">
                  <c:v>713</c:v>
                </c:pt>
                <c:pt idx="2">
                  <c:v>145</c:v>
                </c:pt>
                <c:pt idx="3">
                  <c:v>160</c:v>
                </c:pt>
                <c:pt idx="4">
                  <c:v>0</c:v>
                </c:pt>
                <c:pt idx="5">
                  <c:v>134</c:v>
                </c:pt>
                <c:pt idx="6">
                  <c:v>30</c:v>
                </c:pt>
                <c:pt idx="7">
                  <c:v>240</c:v>
                </c:pt>
                <c:pt idx="8">
                  <c:v>240</c:v>
                </c:pt>
                <c:pt idx="9">
                  <c:v>0</c:v>
                </c:pt>
                <c:pt idx="10">
                  <c:v>25.98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EXPENSES!$E$32</c:f>
              <c:strCache>
                <c:ptCount val="1"/>
                <c:pt idx="0">
                  <c:v>Monthly Budget</c:v>
                </c:pt>
              </c:strCache>
            </c:strRef>
          </c:tx>
          <c:spPr>
            <a:solidFill>
              <a:srgbClr val="D9770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EXPENSES!$A$33:$A$44</c:f>
              <c:strCache>
                <c:ptCount val="12"/>
                <c:pt idx="0">
                  <c:v>Housing</c:v>
                </c:pt>
                <c:pt idx="1">
                  <c:v>Food &amp; Dining</c:v>
                </c:pt>
                <c:pt idx="2">
                  <c:v>Transportation</c:v>
                </c:pt>
                <c:pt idx="3">
                  <c:v>Healthcare</c:v>
                </c:pt>
                <c:pt idx="4">
                  <c:v>Entertainment</c:v>
                </c:pt>
                <c:pt idx="5">
                  <c:v>Shopping</c:v>
                </c:pt>
                <c:pt idx="6">
                  <c:v>Education</c:v>
                </c:pt>
                <c:pt idx="7">
                  <c:v>Utilities</c:v>
                </c:pt>
                <c:pt idx="8">
                  <c:v>Insurance</c:v>
                </c:pt>
                <c:pt idx="9">
                  <c:v>Personal Care</c:v>
                </c:pt>
                <c:pt idx="10">
                  <c:v>Subscriptions</c:v>
                </c:pt>
                <c:pt idx="11">
                  <c:v>Other</c:v>
                </c:pt>
              </c:strCache>
            </c:strRef>
          </c:cat>
          <c:val>
            <c:numRef>
              <c:f>EXPENSES!$E$33:$E$44</c:f>
              <c:numCache>
                <c:formatCode>"$"#,##0</c:formatCode>
                <c:ptCount val="12"/>
                <c:pt idx="0">
                  <c:v>1500</c:v>
                </c:pt>
                <c:pt idx="1">
                  <c:v>400</c:v>
                </c:pt>
                <c:pt idx="2">
                  <c:v>200</c:v>
                </c:pt>
                <c:pt idx="3">
                  <c:v>150</c:v>
                </c:pt>
                <c:pt idx="4">
                  <c:v>100</c:v>
                </c:pt>
                <c:pt idx="5">
                  <c:v>150</c:v>
                </c:pt>
                <c:pt idx="6">
                  <c:v>50</c:v>
                </c:pt>
                <c:pt idx="7">
                  <c:v>200</c:v>
                </c:pt>
                <c:pt idx="8">
                  <c:v>120</c:v>
                </c:pt>
                <c:pt idx="9">
                  <c:v>80</c:v>
                </c:pt>
                <c:pt idx="10">
                  <c:v>50</c:v>
                </c:pt>
                <c:pt idx="11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44728096"/>
        <c:axId val="28954247"/>
      </c:barChart>
      <c:catAx>
        <c:axId val="4472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8954247"/>
        <c:crosses val="autoZero"/>
        <c:auto val="1"/>
        <c:lblAlgn val="ctr"/>
        <c:lblOffset val="100"/>
        <c:noMultiLvlLbl val="0"/>
      </c:catAx>
      <c:valAx>
        <c:axId val="28954247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Amount ($)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&quot;$&quot;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47280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95370b-37ab-4f88-968a-ddd078ba8b8f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Q1 Budget vs Actual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BUDGET!$B$22</c:f>
              <c:strCache>
                <c:ptCount val="1"/>
                <c:pt idx="0">
                  <c:v>Q1 Budget</c:v>
                </c:pt>
              </c:strCache>
            </c:strRef>
          </c:tx>
          <c:spPr>
            <a:solidFill>
              <a:srgbClr val="D9770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BUDGET!$A$23:$A$36</c:f>
              <c:strCache>
                <c:ptCount val="14"/>
                <c:pt idx="0">
                  <c:v>Housing</c:v>
                </c:pt>
                <c:pt idx="1">
                  <c:v>Food &amp; Dining</c:v>
                </c:pt>
                <c:pt idx="2">
                  <c:v>Transportation</c:v>
                </c:pt>
                <c:pt idx="3">
                  <c:v>Healthcare</c:v>
                </c:pt>
                <c:pt idx="4">
                  <c:v>Entertainment</c:v>
                </c:pt>
                <c:pt idx="5">
                  <c:v>Shopping</c:v>
                </c:pt>
                <c:pt idx="6">
                  <c:v>Education</c:v>
                </c:pt>
                <c:pt idx="7">
                  <c:v>Utilities</c:v>
                </c:pt>
                <c:pt idx="8">
                  <c:v>Insurance</c:v>
                </c:pt>
                <c:pt idx="9">
                  <c:v>Personal Care</c:v>
                </c:pt>
                <c:pt idx="10">
                  <c:v>Subscriptions</c:v>
                </c:pt>
                <c:pt idx="11">
                  <c:v>Savings</c:v>
                </c:pt>
                <c:pt idx="12">
                  <c:v>Debt Payment</c:v>
                </c:pt>
                <c:pt idx="13">
                  <c:v>Other</c:v>
                </c:pt>
              </c:strCache>
            </c:strRef>
          </c:cat>
          <c:val>
            <c:numRef>
              <c:f>BUDGET!$B$23:$B$36</c:f>
              <c:numCache>
                <c:formatCode>"$"#,##0.00</c:formatCode>
                <c:ptCount val="14"/>
                <c:pt idx="0">
                  <c:v>4500</c:v>
                </c:pt>
                <c:pt idx="1">
                  <c:v>1200</c:v>
                </c:pt>
                <c:pt idx="2">
                  <c:v>600</c:v>
                </c:pt>
                <c:pt idx="3">
                  <c:v>450</c:v>
                </c:pt>
                <c:pt idx="4">
                  <c:v>300</c:v>
                </c:pt>
                <c:pt idx="5">
                  <c:v>450</c:v>
                </c:pt>
                <c:pt idx="6">
                  <c:v>150</c:v>
                </c:pt>
                <c:pt idx="7">
                  <c:v>600</c:v>
                </c:pt>
                <c:pt idx="8">
                  <c:v>360</c:v>
                </c:pt>
                <c:pt idx="9">
                  <c:v>240</c:v>
                </c:pt>
                <c:pt idx="10">
                  <c:v>150</c:v>
                </c:pt>
                <c:pt idx="11">
                  <c:v>1800</c:v>
                </c:pt>
                <c:pt idx="12">
                  <c:v>450</c:v>
                </c:pt>
                <c:pt idx="13">
                  <c:v>300</c:v>
                </c:pt>
              </c:numCache>
            </c:numRef>
          </c:val>
        </c:ser>
        <c:ser>
          <c:idx val="1"/>
          <c:order val="1"/>
          <c:tx>
            <c:strRef>
              <c:f>BUDGET!$C$22</c:f>
              <c:strCache>
                <c:ptCount val="1"/>
                <c:pt idx="0">
                  <c:v>Q1 Actual</c:v>
                </c:pt>
              </c:strCache>
            </c:strRef>
          </c:tx>
          <c:spPr>
            <a:solidFill>
              <a:srgbClr val="1E3A5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BUDGET!$A$23:$A$36</c:f>
              <c:strCache>
                <c:ptCount val="14"/>
                <c:pt idx="0">
                  <c:v>Housing</c:v>
                </c:pt>
                <c:pt idx="1">
                  <c:v>Food &amp; Dining</c:v>
                </c:pt>
                <c:pt idx="2">
                  <c:v>Transportation</c:v>
                </c:pt>
                <c:pt idx="3">
                  <c:v>Healthcare</c:v>
                </c:pt>
                <c:pt idx="4">
                  <c:v>Entertainment</c:v>
                </c:pt>
                <c:pt idx="5">
                  <c:v>Shopping</c:v>
                </c:pt>
                <c:pt idx="6">
                  <c:v>Education</c:v>
                </c:pt>
                <c:pt idx="7">
                  <c:v>Utilities</c:v>
                </c:pt>
                <c:pt idx="8">
                  <c:v>Insurance</c:v>
                </c:pt>
                <c:pt idx="9">
                  <c:v>Personal Care</c:v>
                </c:pt>
                <c:pt idx="10">
                  <c:v>Subscriptions</c:v>
                </c:pt>
                <c:pt idx="11">
                  <c:v>Savings</c:v>
                </c:pt>
                <c:pt idx="12">
                  <c:v>Debt Payment</c:v>
                </c:pt>
                <c:pt idx="13">
                  <c:v>Other</c:v>
                </c:pt>
              </c:strCache>
            </c:strRef>
          </c:cat>
          <c:val>
            <c:numRef>
              <c:f>BUDGET!$C$23:$C$36</c:f>
              <c:numCache>
                <c:formatCode>"$"#,##0.00</c:formatCode>
                <c:ptCount val="14"/>
                <c:pt idx="0">
                  <c:v>4500</c:v>
                </c:pt>
                <c:pt idx="1">
                  <c:v>1183</c:v>
                </c:pt>
                <c:pt idx="2">
                  <c:v>576</c:v>
                </c:pt>
                <c:pt idx="3">
                  <c:v>440</c:v>
                </c:pt>
                <c:pt idx="4">
                  <c:v>286</c:v>
                </c:pt>
                <c:pt idx="5">
                  <c:v>341</c:v>
                </c:pt>
                <c:pt idx="6">
                  <c:v>30</c:v>
                </c:pt>
                <c:pt idx="7">
                  <c:v>651</c:v>
                </c:pt>
                <c:pt idx="8">
                  <c:v>360</c:v>
                </c:pt>
                <c:pt idx="9">
                  <c:v>225</c:v>
                </c:pt>
                <c:pt idx="10">
                  <c:v>77.94</c:v>
                </c:pt>
                <c:pt idx="11">
                  <c:v>1800</c:v>
                </c:pt>
                <c:pt idx="12">
                  <c:v>450</c:v>
                </c:pt>
                <c:pt idx="13">
                  <c:v>217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22959414"/>
        <c:axId val="12490990"/>
      </c:barChart>
      <c:catAx>
        <c:axId val="229594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2490990"/>
        <c:crosses val="autoZero"/>
        <c:auto val="1"/>
        <c:lblAlgn val="ctr"/>
        <c:lblOffset val="100"/>
        <c:noMultiLvlLbl val="0"/>
      </c:catAx>
      <c:valAx>
        <c:axId val="12490990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Amount ($)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&quot;$&quot;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29594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934fd9-8e7a-425d-b89b-2c5e19ff9e7f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Savings Goal Progress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WEALTH!$D$4</c:f>
              <c:strCache>
                <c:ptCount val="1"/>
                <c:pt idx="0">
                  <c:v>% Done</c:v>
                </c:pt>
              </c:strCache>
            </c:strRef>
          </c:tx>
          <c:spPr>
            <a:solidFill>
              <a:srgbClr val="16A34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WEALTH!$A$5:$A$9</c:f>
              <c:strCache>
                <c:ptCount val="5"/>
                <c:pt idx="0">
                  <c:v>Emergency Fund</c:v>
                </c:pt>
                <c:pt idx="1">
                  <c:v>Europe Vacation</c:v>
                </c:pt>
                <c:pt idx="2">
                  <c:v>New MacBook Pro</c:v>
                </c:pt>
                <c:pt idx="3">
                  <c:v>Down Payment Fund</c:v>
                </c:pt>
                <c:pt idx="4">
                  <c:v>Wedding Fund</c:v>
                </c:pt>
              </c:strCache>
            </c:strRef>
          </c:cat>
          <c:val>
            <c:numRef>
              <c:f>WEALTH!$D$5:$D$9</c:f>
              <c:numCache>
                <c:formatCode>0.0%</c:formatCode>
                <c:ptCount val="5"/>
                <c:pt idx="0">
                  <c:v>0.75</c:v>
                </c:pt>
                <c:pt idx="1">
                  <c:v>0.24</c:v>
                </c:pt>
                <c:pt idx="2">
                  <c:v>0.6</c:v>
                </c:pt>
                <c:pt idx="3">
                  <c:v>0.24</c:v>
                </c:pt>
                <c:pt idx="4">
                  <c:v>0.3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14930911"/>
        <c:axId val="20834498"/>
      </c:barChart>
      <c:catAx>
        <c:axId val="1493091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% Complete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0834498"/>
        <c:crosses val="autoZero"/>
        <c:auto val="1"/>
        <c:lblAlgn val="ctr"/>
        <c:lblOffset val="100"/>
        <c:noMultiLvlLbl val="0"/>
      </c:catAx>
      <c:valAx>
        <c:axId val="20834498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49309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6347e5-bd26-44d7-b3cc-6bfdae564f66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10-Year Investment Forecast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INVESTMENTS!$B$17</c:f>
              <c:strCache>
                <c:ptCount val="1"/>
                <c:pt idx="0">
                  <c:v>Conservative (5%)</c:v>
                </c:pt>
              </c:strCache>
            </c:strRef>
          </c:tx>
          <c:spPr>
            <a:ln w="28440" cap="rnd" cmpd="sng" algn="ctr">
              <a:solidFill>
                <a:srgbClr val="64748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INVESTMENTS!$A$18:$A$27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INVESTMENTS!$B$18:$B$27</c:f>
              <c:numCache>
                <c:formatCode>"$"#,##0</c:formatCode>
                <c:ptCount val="10"/>
                <c:pt idx="0">
                  <c:v>16929.6046275639</c:v>
                </c:pt>
                <c:pt idx="1">
                  <c:v>23935.1830765054</c:v>
                </c:pt>
                <c:pt idx="2">
                  <c:v>31299.1802146542</c:v>
                </c:pt>
                <c:pt idx="3">
                  <c:v>39039.9334223862</c:v>
                </c:pt>
                <c:pt idx="4">
                  <c:v>47176.71825526</c:v>
                </c:pt>
                <c:pt idx="5">
                  <c:v>55729.7964428388</c:v>
                </c:pt>
                <c:pt idx="6">
                  <c:v>64720.4663432251</c:v>
                </c:pt>
                <c:pt idx="7">
                  <c:v>74171.1159789433</c:v>
                </c:pt>
                <c:pt idx="8">
                  <c:v>84105.2787862401</c:v>
                </c:pt>
                <c:pt idx="9">
                  <c:v>94547.6922166243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INVESTMENTS!$C$17</c:f>
              <c:strCache>
                <c:ptCount val="1"/>
                <c:pt idx="0">
                  <c:v>Base Case (7%)</c:v>
                </c:pt>
              </c:strCache>
            </c:strRef>
          </c:tx>
          <c:spPr>
            <a:ln w="24840" cap="rnd" cmpd="sng" algn="ctr">
              <a:solidFill>
                <a:srgbClr val="0D948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INVESTMENTS!$A$18:$A$27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INVESTMENTS!$C$18:$C$27</c:f>
              <c:numCache>
                <c:formatCode>"$"#,##0</c:formatCode>
                <c:ptCount val="10"/>
                <c:pt idx="0">
                  <c:v>17203.3503248095</c:v>
                </c:pt>
                <c:pt idx="1">
                  <c:v>24643.2745556083</c:v>
                </c:pt>
                <c:pt idx="2">
                  <c:v>32621.0315106159</c:v>
                </c:pt>
                <c:pt idx="3">
                  <c:v>41175.5011609524</c:v>
                </c:pt>
                <c:pt idx="4">
                  <c:v>50348.3741139939</c:v>
                </c:pt>
                <c:pt idx="5">
                  <c:v>60184.3547944948</c:v>
                </c:pt>
                <c:pt idx="6">
                  <c:v>70731.3793136894</c:v>
                </c:pt>
                <c:pt idx="7">
                  <c:v>82040.8490881693</c:v>
                </c:pt>
                <c:pt idx="8">
                  <c:v>94167.8813470876</c:v>
                </c:pt>
                <c:pt idx="9">
                  <c:v>107171.577748549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INVESTMENTS!$D$17</c:f>
              <c:strCache>
                <c:ptCount val="1"/>
                <c:pt idx="0">
                  <c:v>Aggressive (10%)</c:v>
                </c:pt>
              </c:strCache>
            </c:strRef>
          </c:tx>
          <c:spPr>
            <a:ln w="28440" cap="rnd" cmpd="sng" algn="ctr">
              <a:solidFill>
                <a:srgbClr val="16A34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INVESTMENTS!$A$18:$A$27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INVESTMENTS!$D$18:$D$27</c:f>
              <c:numCache>
                <c:formatCode>"$"#,##0</c:formatCode>
                <c:ptCount val="10"/>
                <c:pt idx="0">
                  <c:v>17622.6636837627</c:v>
                </c:pt>
                <c:pt idx="1">
                  <c:v>25750.7709010537</c:v>
                </c:pt>
                <c:pt idx="2">
                  <c:v>34729.9971575589</c:v>
                </c:pt>
                <c:pt idx="3">
                  <c:v>44649.4657386322</c:v>
                </c:pt>
                <c:pt idx="4">
                  <c:v>55607.6323022173</c:v>
                </c:pt>
                <c:pt idx="5">
                  <c:v>67713.262100208</c:v>
                </c:pt>
                <c:pt idx="6">
                  <c:v>81086.5095276552</c:v>
                </c:pt>
                <c:pt idx="7">
                  <c:v>95860.1107148817</c:v>
                </c:pt>
                <c:pt idx="8">
                  <c:v>112180.700999577</c:v>
                </c:pt>
                <c:pt idx="9">
                  <c:v>130210.270355436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29695095"/>
        <c:axId val="86276658"/>
      </c:lineChart>
      <c:catAx>
        <c:axId val="29695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6276658"/>
        <c:crosses val="autoZero"/>
        <c:auto val="1"/>
        <c:lblAlgn val="ctr"/>
        <c:lblOffset val="100"/>
        <c:noMultiLvlLbl val="0"/>
      </c:catAx>
      <c:valAx>
        <c:axId val="86276658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Portfolio Value ($)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&quot;$&quot;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96950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fd5387-9853-4cdb-9093-277d09139c3a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Net Worth Over Time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'NET WORTH'!$D$19</c:f>
              <c:strCache>
                <c:ptCount val="1"/>
                <c:pt idx="0">
                  <c:v>Net Worth</c:v>
                </c:pt>
              </c:strCache>
            </c:strRef>
          </c:tx>
          <c:spPr>
            <a:ln w="24840" cap="rnd" cmpd="sng" algn="ctr">
              <a:solidFill>
                <a:srgbClr val="7C3AED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7C3AE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'NET WORTH'!$A$20:$A$25</c:f>
              <c:strCache>
                <c:ptCount val="6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</c:strCache>
            </c:strRef>
          </c:cat>
          <c:val>
            <c:numRef>
              <c:f>'NET WORTH'!$D$20:$D$25</c:f>
              <c:numCache>
                <c:formatCode>"$"#,##0</c:formatCode>
                <c:ptCount val="6"/>
                <c:pt idx="0">
                  <c:v>99500</c:v>
                </c:pt>
                <c:pt idx="1">
                  <c:v>100000</c:v>
                </c:pt>
                <c:pt idx="2">
                  <c:v>101000</c:v>
                </c:pt>
                <c:pt idx="3">
                  <c:v>102000</c:v>
                </c:pt>
                <c:pt idx="4">
                  <c:v>103300</c:v>
                </c:pt>
                <c:pt idx="5">
                  <c:v>104500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1"/>
        <c:smooth val="1"/>
        <c:axId val="79302886"/>
        <c:axId val="71120992"/>
      </c:lineChart>
      <c:catAx>
        <c:axId val="793028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1120992"/>
        <c:crosses val="autoZero"/>
        <c:auto val="1"/>
        <c:lblAlgn val="ctr"/>
        <c:lblOffset val="100"/>
        <c:noMultiLvlLbl val="0"/>
      </c:catAx>
      <c:valAx>
        <c:axId val="71120992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Net Worth ($)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&quot;$&quot;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93028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52f30f-39c0-4a9d-a09c-b36ef29fd307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Goal Progress (%)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GOALS!$F$4</c:f>
              <c:strCache>
                <c:ptCount val="1"/>
                <c:pt idx="0">
                  <c:v>Progress %</c:v>
                </c:pt>
              </c:strCache>
            </c:strRef>
          </c:tx>
          <c:spPr>
            <a:solidFill>
              <a:srgbClr val="0D948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GOALS!$B$5:$B$16</c:f>
              <c:strCache>
                <c:ptCount val="12"/>
                <c:pt idx="0">
                  <c:v>Build $10K Emergency Fund</c:v>
                </c:pt>
                <c:pt idx="1">
                  <c:v>Run First 5K Race</c:v>
                </c:pt>
                <c:pt idx="2">
                  <c:v>Read 24 Books in 2025</c:v>
                </c:pt>
                <c:pt idx="3">
                  <c:v>Pass AWS Solutions Architect</c:v>
                </c:pt>
                <c:pt idx="4">
                  <c:v>Learn Conversational Spanish</c:v>
                </c:pt>
                <c:pt idx="5">
                  <c:v>Launch Freelance Design Studio</c:v>
                </c:pt>
                <c:pt idx="6">
                  <c:v>Trip to Japan</c:v>
                </c:pt>
                <c:pt idx="7">
                  <c:v>Lose 15 lbs</c:v>
                </c:pt>
                <c:pt idx="8">
                  <c:v>Pay Off Citi Credit Card</c:v>
                </c:pt>
                <c:pt idx="9">
                  <c:v>30-Day Meditation Streak</c:v>
                </c:pt>
                <c:pt idx="10">
                  <c:v>Max Out Roth IRA 2025</c:v>
                </c:pt>
                <c:pt idx="11">
                  <c:v>Finish Online Coding Bootcamp</c:v>
                </c:pt>
              </c:strCache>
            </c:strRef>
          </c:cat>
          <c:val>
            <c:numRef>
              <c:f>GOALS!$F$5:$F$16</c:f>
              <c:numCache>
                <c:formatCode>0%</c:formatCode>
                <c:ptCount val="12"/>
                <c:pt idx="0">
                  <c:v>0.75</c:v>
                </c:pt>
                <c:pt idx="1">
                  <c:v>0.6</c:v>
                </c:pt>
                <c:pt idx="2">
                  <c:v>0.25</c:v>
                </c:pt>
                <c:pt idx="3">
                  <c:v>0.4</c:v>
                </c:pt>
                <c:pt idx="4">
                  <c:v>0.15</c:v>
                </c:pt>
                <c:pt idx="5">
                  <c:v>0.35</c:v>
                </c:pt>
                <c:pt idx="6">
                  <c:v>0.55</c:v>
                </c:pt>
                <c:pt idx="7">
                  <c:v>0.47</c:v>
                </c:pt>
                <c:pt idx="8">
                  <c:v>0.58</c:v>
                </c:pt>
                <c:pt idx="9">
                  <c:v>1</c:v>
                </c:pt>
                <c:pt idx="10">
                  <c:v>0.3</c:v>
                </c:pt>
                <c:pt idx="11">
                  <c:v>0.45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67498241"/>
        <c:axId val="11725276"/>
      </c:barChart>
      <c:catAx>
        <c:axId val="6749824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% Complete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1725276"/>
        <c:crosses val="autoZero"/>
        <c:auto val="1"/>
        <c:lblAlgn val="ctr"/>
        <c:lblOffset val="100"/>
        <c:noMultiLvlLbl val="0"/>
      </c:catAx>
      <c:valAx>
        <c:axId val="11725276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74982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91244b-3d8d-4208-9691-37e7953da0f0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Habit Completion Rate — January 2025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HABITS!$AK$3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rgbClr val="65A30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HABITS!$C$4:$C$18</c:f>
              <c:strCache>
                <c:ptCount val="15"/>
                <c:pt idx="0">
                  <c:v>Morning Meditation 🧘</c:v>
                </c:pt>
                <c:pt idx="1">
                  <c:v>Exercise / Workout 🏋️</c:v>
                </c:pt>
                <c:pt idx="2">
                  <c:v>Drink 8 Glasses Water 💧</c:v>
                </c:pt>
                <c:pt idx="3">
                  <c:v>Read 30 Minutes 📚</c:v>
                </c:pt>
                <c:pt idx="4">
                  <c:v>No Social Media Before 9AM 📵</c:v>
                </c:pt>
                <c:pt idx="5">
                  <c:v>Healthy Breakfast 🥗</c:v>
                </c:pt>
                <c:pt idx="6">
                  <c:v>Evening Journal 📔</c:v>
                </c:pt>
                <c:pt idx="7">
                  <c:v>Sleep Before 11PM 🌙</c:v>
                </c:pt>
                <c:pt idx="8">
                  <c:v>Gratitude Practice 🙏</c:v>
                </c:pt>
                <c:pt idx="9">
                  <c:v>10,000 Steps 🚶</c:v>
                </c:pt>
                <c:pt idx="10">
                  <c:v>Learn Something New 🎓</c:v>
                </c:pt>
                <c:pt idx="11">
                  <c:v>Review Goals 🎯</c:v>
                </c:pt>
                <c:pt idx="12">
                  <c:v>No Junk Food 🥦</c:v>
                </c:pt>
                <c:pt idx="13">
                  <c:v>Connect With a Friend 👥</c:v>
                </c:pt>
                <c:pt idx="14">
                  <c:v>Cold Shower 🚿</c:v>
                </c:pt>
              </c:strCache>
            </c:strRef>
          </c:cat>
          <c:val>
            <c:numRef>
              <c:f>HABITS!$AK$4:$AK$18</c:f>
              <c:numCache>
                <c:formatCode>0%</c:formatCode>
                <c:ptCount val="15"/>
                <c:pt idx="0">
                  <c:v>0.741935483870968</c:v>
                </c:pt>
                <c:pt idx="1">
                  <c:v>0.774193548387097</c:v>
                </c:pt>
                <c:pt idx="2">
                  <c:v>1</c:v>
                </c:pt>
                <c:pt idx="3">
                  <c:v>0.612903225806452</c:v>
                </c:pt>
                <c:pt idx="4">
                  <c:v>0.709677419354839</c:v>
                </c:pt>
                <c:pt idx="5">
                  <c:v>0.709677419354839</c:v>
                </c:pt>
                <c:pt idx="6">
                  <c:v>0.483870967741936</c:v>
                </c:pt>
                <c:pt idx="7">
                  <c:v>0.741935483870968</c:v>
                </c:pt>
                <c:pt idx="8">
                  <c:v>0.67741935483871</c:v>
                </c:pt>
                <c:pt idx="9">
                  <c:v>0.838709677419355</c:v>
                </c:pt>
                <c:pt idx="10">
                  <c:v>0.774193548387097</c:v>
                </c:pt>
                <c:pt idx="11">
                  <c:v>0.741935483870968</c:v>
                </c:pt>
                <c:pt idx="12">
                  <c:v>0.612903225806452</c:v>
                </c:pt>
                <c:pt idx="13">
                  <c:v>0.645161290322581</c:v>
                </c:pt>
                <c:pt idx="14">
                  <c:v>0.32258064516129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45723908"/>
        <c:axId val="75239351"/>
      </c:barChart>
      <c:catAx>
        <c:axId val="4572390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% Days Completed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5239351"/>
        <c:crosses val="autoZero"/>
        <c:auto val="1"/>
        <c:lblAlgn val="ctr"/>
        <c:lblOffset val="100"/>
        <c:noMultiLvlLbl val="0"/>
      </c:catAx>
      <c:valAx>
        <c:axId val="75239351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57239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fe78af-8487-4b26-9999-914f3c161e2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Tasks by Status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TASKS!$C$26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EA580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TASKS!$A$27:$A$31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  <c:pt idx="3">
                  <c:v>On Hold</c:v>
                </c:pt>
                <c:pt idx="4">
                  <c:v>Cancelled</c:v>
                </c:pt>
              </c:strCache>
            </c:strRef>
          </c:cat>
          <c:val>
            <c:numRef>
              <c:f>TASKS!$C$27:$C$31</c:f>
              <c:numCache>
                <c:formatCode>General</c:formatCode>
                <c:ptCount val="5"/>
                <c:pt idx="0">
                  <c:v>10</c:v>
                </c:pt>
                <c:pt idx="1">
                  <c:v>6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42401436"/>
        <c:axId val="39332719"/>
      </c:barChart>
      <c:catAx>
        <c:axId val="424014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9332719"/>
        <c:crosses val="autoZero"/>
        <c:auto val="1"/>
        <c:lblAlgn val="ctr"/>
        <c:lblOffset val="100"/>
        <c:noMultiLvlLbl val="0"/>
      </c:catAx>
      <c:valAx>
        <c:axId val="3933271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Count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24014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c3f3b9-c368-40c2-bc4f-bef8195b687f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Weight Trend (Jan 2025)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HEALTH!$C$4</c:f>
              <c:strCache>
                <c:ptCount val="1"/>
                <c:pt idx="0">
                  <c:v>Weight(lbs)</c:v>
                </c:pt>
              </c:strCache>
            </c:strRef>
          </c:tx>
          <c:spPr>
            <a:ln w="21960" cap="rnd" cmpd="sng" algn="ctr">
              <a:solidFill>
                <a:srgbClr val="DB2777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DB277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HEALTH!$B$5:$B$23</c:f>
              <c:strCache>
                <c:ptCount val="19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</c:strCache>
            </c:strRef>
          </c:cat>
          <c:val>
            <c:numRef>
              <c:f>HEALTH!$C$5:$C$23</c:f>
              <c:numCache>
                <c:formatCode>0.0</c:formatCode>
                <c:ptCount val="19"/>
                <c:pt idx="0">
                  <c:v>185.2</c:v>
                </c:pt>
                <c:pt idx="1">
                  <c:v>185</c:v>
                </c:pt>
                <c:pt idx="2">
                  <c:v>184.8</c:v>
                </c:pt>
                <c:pt idx="3">
                  <c:v>184.5</c:v>
                </c:pt>
                <c:pt idx="4">
                  <c:v>184.2</c:v>
                </c:pt>
                <c:pt idx="5">
                  <c:v>184</c:v>
                </c:pt>
                <c:pt idx="6">
                  <c:v>183.8</c:v>
                </c:pt>
                <c:pt idx="7">
                  <c:v>183.5</c:v>
                </c:pt>
                <c:pt idx="8">
                  <c:v>183.2</c:v>
                </c:pt>
                <c:pt idx="9">
                  <c:v>183</c:v>
                </c:pt>
                <c:pt idx="10">
                  <c:v>183.2</c:v>
                </c:pt>
                <c:pt idx="11">
                  <c:v>182.8</c:v>
                </c:pt>
                <c:pt idx="12">
                  <c:v>182.5</c:v>
                </c:pt>
                <c:pt idx="13">
                  <c:v>182.2</c:v>
                </c:pt>
                <c:pt idx="14">
                  <c:v>182</c:v>
                </c:pt>
                <c:pt idx="15">
                  <c:v>181.8</c:v>
                </c:pt>
                <c:pt idx="16">
                  <c:v>181.5</c:v>
                </c:pt>
                <c:pt idx="17">
                  <c:v>181.2</c:v>
                </c:pt>
                <c:pt idx="18">
                  <c:v>181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1"/>
        <c:smooth val="1"/>
        <c:axId val="95221290"/>
        <c:axId val="10346743"/>
      </c:lineChart>
      <c:catAx>
        <c:axId val="952212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0346743"/>
        <c:crosses val="autoZero"/>
        <c:auto val="1"/>
        <c:lblAlgn val="ctr"/>
        <c:lblOffset val="100"/>
        <c:noMultiLvlLbl val="0"/>
      </c:catAx>
      <c:valAx>
        <c:axId val="10346743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Weight (lbs)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52212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bbe428-14cc-45d9-9a2d-e8041153400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Monthly Performance Trends (Habit · Goals · Tasks)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ANALYTICS!$B$17</c:f>
              <c:strCache>
                <c:ptCount val="1"/>
                <c:pt idx="0">
                  <c:v>Habit Rate</c:v>
                </c:pt>
              </c:strCache>
            </c:strRef>
          </c:tx>
          <c:spPr>
            <a:ln w="21960" cap="rnd" cmpd="sng" algn="ctr">
              <a:solidFill>
                <a:srgbClr val="65A30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ANALYTICS!$A$18:$A$23</c:f>
              <c:strCache>
                <c:ptCount val="6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</c:strCache>
            </c:strRef>
          </c:cat>
          <c:val>
            <c:numRef>
              <c:f>ANALYTICS!$B$18:$B$23</c:f>
              <c:numCache>
                <c:formatCode>0.0%</c:formatCode>
                <c:ptCount val="6"/>
                <c:pt idx="0">
                  <c:v>0.72</c:v>
                </c:pt>
                <c:pt idx="1">
                  <c:v>0.75</c:v>
                </c:pt>
                <c:pt idx="2">
                  <c:v>0.78</c:v>
                </c:pt>
                <c:pt idx="3">
                  <c:v>0.8</c:v>
                </c:pt>
                <c:pt idx="4">
                  <c:v>0.82</c:v>
                </c:pt>
                <c:pt idx="5">
                  <c:v>0.79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ANALYTICS!$C$17</c:f>
              <c:strCache>
                <c:ptCount val="1"/>
                <c:pt idx="0">
                  <c:v>Goal Progress</c:v>
                </c:pt>
              </c:strCache>
            </c:strRef>
          </c:tx>
          <c:spPr>
            <a:ln w="21960" cap="rnd" cmpd="sng" algn="ctr">
              <a:solidFill>
                <a:srgbClr val="0D948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ANALYTICS!$A$18:$A$23</c:f>
              <c:strCache>
                <c:ptCount val="6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</c:strCache>
            </c:strRef>
          </c:cat>
          <c:val>
            <c:numRef>
              <c:f>ANALYTICS!$C$18:$C$23</c:f>
              <c:numCache>
                <c:formatCode>0.0%</c:formatCode>
                <c:ptCount val="6"/>
                <c:pt idx="0">
                  <c:v>0.45</c:v>
                </c:pt>
                <c:pt idx="1">
                  <c:v>0.52</c:v>
                </c:pt>
                <c:pt idx="2">
                  <c:v>0.58</c:v>
                </c:pt>
                <c:pt idx="3">
                  <c:v>0.63</c:v>
                </c:pt>
                <c:pt idx="4">
                  <c:v>0.68</c:v>
                </c:pt>
                <c:pt idx="5">
                  <c:v>0.72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ANALYTICS!$D$17</c:f>
              <c:strCache>
                <c:ptCount val="1"/>
                <c:pt idx="0">
                  <c:v>Task Rate</c:v>
                </c:pt>
              </c:strCache>
            </c:strRef>
          </c:tx>
          <c:spPr>
            <a:ln w="21960" cap="rnd" cmpd="sng" algn="ctr">
              <a:solidFill>
                <a:srgbClr val="EA580C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ANALYTICS!$A$18:$A$23</c:f>
              <c:strCache>
                <c:ptCount val="6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</c:strCache>
            </c:strRef>
          </c:cat>
          <c:val>
            <c:numRef>
              <c:f>ANALYTICS!$D$18:$D$23</c:f>
              <c:numCache>
                <c:formatCode>0.0%</c:formatCode>
                <c:ptCount val="6"/>
                <c:pt idx="0">
                  <c:v>0.4</c:v>
                </c:pt>
                <c:pt idx="1">
                  <c:v>0.45</c:v>
                </c:pt>
                <c:pt idx="2">
                  <c:v>0.5</c:v>
                </c:pt>
                <c:pt idx="3">
                  <c:v>0.55</c:v>
                </c:pt>
                <c:pt idx="4">
                  <c:v>0.6</c:v>
                </c:pt>
                <c:pt idx="5">
                  <c:v>0.65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16048535"/>
        <c:axId val="54407926"/>
      </c:lineChart>
      <c:catAx>
        <c:axId val="1604853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Month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4407926"/>
        <c:crosses val="autoZero"/>
        <c:auto val="1"/>
        <c:lblAlgn val="ctr"/>
        <c:lblOffset val="100"/>
        <c:noMultiLvlLbl val="0"/>
      </c:catAx>
      <c:valAx>
        <c:axId val="5440792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Rate (%)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60485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bec40b-db59-44cb-9272-a84e473df6b3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Monthly Savings Rate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ANALYTICS!$E$17</c:f>
              <c:strCache>
                <c:ptCount val="1"/>
                <c:pt idx="0">
                  <c:v>Savings Rate</c:v>
                </c:pt>
              </c:strCache>
            </c:strRef>
          </c:tx>
          <c:spPr>
            <a:solidFill>
              <a:srgbClr val="16A34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ANALYTICS!$A$18:$A$23</c:f>
              <c:strCache>
                <c:ptCount val="6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</c:strCache>
            </c:strRef>
          </c:cat>
          <c:val>
            <c:numRef>
              <c:f>ANALYTICS!$E$18:$E$23</c:f>
              <c:numCache>
                <c:formatCode>0.0%</c:formatCode>
                <c:ptCount val="6"/>
                <c:pt idx="0">
                  <c:v>0.18</c:v>
                </c:pt>
                <c:pt idx="1">
                  <c:v>0.2</c:v>
                </c:pt>
                <c:pt idx="2">
                  <c:v>0.22</c:v>
                </c:pt>
                <c:pt idx="3">
                  <c:v>0.21</c:v>
                </c:pt>
                <c:pt idx="4">
                  <c:v>0.23</c:v>
                </c:pt>
                <c:pt idx="5">
                  <c:v>0.25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2486526"/>
        <c:axId val="50498686"/>
      </c:barChart>
      <c:catAx>
        <c:axId val="24865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0498686"/>
        <c:crosses val="autoZero"/>
        <c:auto val="1"/>
        <c:lblAlgn val="ctr"/>
        <c:lblOffset val="100"/>
        <c:noMultiLvlLbl val="0"/>
      </c:catAx>
      <c:valAx>
        <c:axId val="5049868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Savings Rate (%)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4865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53c6a4-e53a-4949-970b-38ea62c46ab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7</xdr:col>
      <xdr:colOff>284400</xdr:colOff>
      <xdr:row>52</xdr:row>
      <xdr:rowOff>128520</xdr:rowOff>
    </xdr:to>
    <xdr:graphicFrame>
      <xdr:nvGraphicFramePr>
        <xdr:cNvPr id="2" name="Chart 1"/>
        <xdr:cNvGraphicFramePr/>
      </xdr:nvGraphicFramePr>
      <xdr:xfrm>
        <a:off x="0" y="6838950"/>
        <a:ext cx="6779895" cy="4179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30</xdr:row>
      <xdr:rowOff>0</xdr:rowOff>
    </xdr:from>
    <xdr:to>
      <xdr:col>11</xdr:col>
      <xdr:colOff>113400</xdr:colOff>
      <xdr:row>52</xdr:row>
      <xdr:rowOff>128520</xdr:rowOff>
    </xdr:to>
    <xdr:graphicFrame>
      <xdr:nvGraphicFramePr>
        <xdr:cNvPr id="3" name="Chart 2"/>
        <xdr:cNvGraphicFramePr/>
      </xdr:nvGraphicFramePr>
      <xdr:xfrm>
        <a:off x="5448300" y="6838950"/>
        <a:ext cx="5351780" cy="4179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21</xdr:row>
      <xdr:rowOff>0</xdr:rowOff>
    </xdr:from>
    <xdr:to>
      <xdr:col>13</xdr:col>
      <xdr:colOff>477000</xdr:colOff>
      <xdr:row>41</xdr:row>
      <xdr:rowOff>166680</xdr:rowOff>
    </xdr:to>
    <xdr:graphicFrame>
      <xdr:nvGraphicFramePr>
        <xdr:cNvPr id="2" name="Chart 1"/>
        <xdr:cNvGraphicFramePr/>
      </xdr:nvGraphicFramePr>
      <xdr:xfrm>
        <a:off x="5448300" y="4978400"/>
        <a:ext cx="7141210" cy="4249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31</xdr:row>
      <xdr:rowOff>0</xdr:rowOff>
    </xdr:from>
    <xdr:to>
      <xdr:col>16</xdr:col>
      <xdr:colOff>223560</xdr:colOff>
      <xdr:row>53</xdr:row>
      <xdr:rowOff>31320</xdr:rowOff>
    </xdr:to>
    <xdr:graphicFrame>
      <xdr:nvGraphicFramePr>
        <xdr:cNvPr id="3" name="Chart 1"/>
        <xdr:cNvGraphicFramePr/>
      </xdr:nvGraphicFramePr>
      <xdr:xfrm>
        <a:off x="5168900" y="7356475"/>
        <a:ext cx="8567420" cy="4615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21</xdr:row>
      <xdr:rowOff>0</xdr:rowOff>
    </xdr:from>
    <xdr:to>
      <xdr:col>16</xdr:col>
      <xdr:colOff>513000</xdr:colOff>
      <xdr:row>42</xdr:row>
      <xdr:rowOff>145440</xdr:rowOff>
    </xdr:to>
    <xdr:graphicFrame>
      <xdr:nvGraphicFramePr>
        <xdr:cNvPr id="4" name="Chart 1"/>
        <xdr:cNvGraphicFramePr/>
      </xdr:nvGraphicFramePr>
      <xdr:xfrm>
        <a:off x="5378450" y="5026025"/>
        <a:ext cx="7856220" cy="4634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15</xdr:col>
      <xdr:colOff>398880</xdr:colOff>
      <xdr:row>16</xdr:row>
      <xdr:rowOff>263880</xdr:rowOff>
    </xdr:to>
    <xdr:graphicFrame>
      <xdr:nvGraphicFramePr>
        <xdr:cNvPr id="5" name="Chart 1"/>
        <xdr:cNvGraphicFramePr/>
      </xdr:nvGraphicFramePr>
      <xdr:xfrm>
        <a:off x="8312150" y="584200"/>
        <a:ext cx="5713730" cy="3946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16</xdr:row>
      <xdr:rowOff>0</xdr:rowOff>
    </xdr:from>
    <xdr:to>
      <xdr:col>14</xdr:col>
      <xdr:colOff>491760</xdr:colOff>
      <xdr:row>38</xdr:row>
      <xdr:rowOff>107640</xdr:rowOff>
    </xdr:to>
    <xdr:graphicFrame>
      <xdr:nvGraphicFramePr>
        <xdr:cNvPr id="6" name="Chart 1"/>
        <xdr:cNvGraphicFramePr/>
      </xdr:nvGraphicFramePr>
      <xdr:xfrm>
        <a:off x="2863850" y="3863975"/>
        <a:ext cx="7854315" cy="4603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9</xdr:col>
      <xdr:colOff>454320</xdr:colOff>
      <xdr:row>48</xdr:row>
      <xdr:rowOff>128880</xdr:rowOff>
    </xdr:to>
    <xdr:graphicFrame>
      <xdr:nvGraphicFramePr>
        <xdr:cNvPr id="7" name="Chart 1"/>
        <xdr:cNvGraphicFramePr/>
      </xdr:nvGraphicFramePr>
      <xdr:xfrm>
        <a:off x="1816100" y="6365875"/>
        <a:ext cx="7140575" cy="4179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6</xdr:col>
      <xdr:colOff>856080</xdr:colOff>
      <xdr:row>45</xdr:row>
      <xdr:rowOff>86400</xdr:rowOff>
    </xdr:to>
    <xdr:graphicFrame>
      <xdr:nvGraphicFramePr>
        <xdr:cNvPr id="8" name="Chart 1"/>
        <xdr:cNvGraphicFramePr/>
      </xdr:nvGraphicFramePr>
      <xdr:xfrm>
        <a:off x="0" y="4927600"/>
        <a:ext cx="7142480" cy="4874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28</xdr:col>
      <xdr:colOff>169560</xdr:colOff>
      <xdr:row>46</xdr:row>
      <xdr:rowOff>86760</xdr:rowOff>
    </xdr:to>
    <xdr:graphicFrame>
      <xdr:nvGraphicFramePr>
        <xdr:cNvPr id="9" name="Chart 1"/>
        <xdr:cNvGraphicFramePr/>
      </xdr:nvGraphicFramePr>
      <xdr:xfrm>
        <a:off x="0" y="4708525"/>
        <a:ext cx="7853045" cy="4874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24</xdr:row>
      <xdr:rowOff>0</xdr:rowOff>
    </xdr:from>
    <xdr:to>
      <xdr:col>8</xdr:col>
      <xdr:colOff>1374480</xdr:colOff>
      <xdr:row>41</xdr:row>
      <xdr:rowOff>84960</xdr:rowOff>
    </xdr:to>
    <xdr:graphicFrame>
      <xdr:nvGraphicFramePr>
        <xdr:cNvPr id="10" name="Chart 1"/>
        <xdr:cNvGraphicFramePr/>
      </xdr:nvGraphicFramePr>
      <xdr:xfrm>
        <a:off x="4191000" y="6013450"/>
        <a:ext cx="5006340" cy="3529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25</xdr:row>
      <xdr:rowOff>0</xdr:rowOff>
    </xdr:from>
    <xdr:to>
      <xdr:col>12</xdr:col>
      <xdr:colOff>229320</xdr:colOff>
      <xdr:row>44</xdr:row>
      <xdr:rowOff>149760</xdr:rowOff>
    </xdr:to>
    <xdr:graphicFrame>
      <xdr:nvGraphicFramePr>
        <xdr:cNvPr id="11" name="Chart 1"/>
        <xdr:cNvGraphicFramePr/>
      </xdr:nvGraphicFramePr>
      <xdr:xfrm>
        <a:off x="4051300" y="5908675"/>
        <a:ext cx="6423660" cy="3870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8</xdr:col>
      <xdr:colOff>533880</xdr:colOff>
      <xdr:row>51</xdr:row>
      <xdr:rowOff>86760</xdr:rowOff>
    </xdr:to>
    <xdr:graphicFrame>
      <xdr:nvGraphicFramePr>
        <xdr:cNvPr id="12" name="Chart 1"/>
        <xdr:cNvGraphicFramePr/>
      </xdr:nvGraphicFramePr>
      <xdr:xfrm>
        <a:off x="0" y="5794375"/>
        <a:ext cx="8566150" cy="4874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25</xdr:row>
      <xdr:rowOff>0</xdr:rowOff>
    </xdr:from>
    <xdr:to>
      <xdr:col>14</xdr:col>
      <xdr:colOff>257760</xdr:colOff>
      <xdr:row>47</xdr:row>
      <xdr:rowOff>128520</xdr:rowOff>
    </xdr:to>
    <xdr:graphicFrame>
      <xdr:nvGraphicFramePr>
        <xdr:cNvPr id="13" name="Chart 2"/>
        <xdr:cNvGraphicFramePr/>
      </xdr:nvGraphicFramePr>
      <xdr:xfrm>
        <a:off x="6216650" y="5794375"/>
        <a:ext cx="5711825" cy="4179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E3A5F"/>
    <pageSetUpPr fitToPage="1"/>
  </sheetPr>
  <dimension ref="A1:O49"/>
  <sheetViews>
    <sheetView showGridLines="0" zoomScale="90" zoomScaleNormal="90" topLeftCell="A16" workbookViewId="0">
      <selection activeCell="B26" sqref="B26:D26"/>
    </sheetView>
  </sheetViews>
  <sheetFormatPr defaultColWidth="8.68181818181818" defaultRowHeight="14.5"/>
  <cols>
    <col min="1" max="1" width="6" customWidth="1"/>
    <col min="2" max="14" width="14" customWidth="1"/>
    <col min="15" max="15" width="6" customWidth="1"/>
  </cols>
  <sheetData>
    <row r="1" ht="21.75" customHeight="1" spans="1:15">
      <c r="A1" s="327"/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</row>
    <row r="2" ht="21.75" customHeight="1" spans="1:15">
      <c r="A2" s="327"/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</row>
    <row r="3" ht="21.75" customHeight="1" spans="1:15">
      <c r="A3" s="327"/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7"/>
    </row>
    <row r="4" ht="21.75" customHeight="1" spans="1:15">
      <c r="A4" s="327"/>
      <c r="B4" s="327"/>
      <c r="C4" s="327"/>
      <c r="D4" s="327"/>
      <c r="E4" s="327"/>
      <c r="F4" s="327"/>
      <c r="G4" s="327"/>
      <c r="H4" s="327"/>
      <c r="I4" s="327"/>
      <c r="J4" s="327"/>
      <c r="K4" s="327"/>
      <c r="L4" s="327"/>
      <c r="M4" s="327"/>
      <c r="N4" s="327"/>
      <c r="O4" s="327"/>
    </row>
    <row r="5" ht="21.75" customHeight="1" spans="1:15">
      <c r="A5" s="327"/>
      <c r="B5" s="327"/>
      <c r="C5" s="327"/>
      <c r="D5" s="327"/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327"/>
    </row>
    <row r="6" ht="9.75" customHeight="1" spans="1:15">
      <c r="A6" s="327"/>
      <c r="B6" s="327"/>
      <c r="C6" s="327"/>
      <c r="D6" s="327"/>
      <c r="E6" s="327"/>
      <c r="F6" s="327"/>
      <c r="G6" s="327"/>
      <c r="H6" s="327"/>
      <c r="I6" s="327"/>
      <c r="J6" s="327"/>
      <c r="K6" s="327"/>
      <c r="L6" s="327"/>
      <c r="M6" s="327"/>
      <c r="N6" s="327"/>
      <c r="O6" s="327"/>
    </row>
    <row r="7" ht="49.5" customHeight="1" spans="1:15">
      <c r="A7" s="327"/>
      <c r="B7" s="336" t="s">
        <v>0</v>
      </c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27"/>
    </row>
    <row r="8" ht="30" customHeight="1" spans="1:15">
      <c r="A8" s="327"/>
      <c r="B8" s="337" t="s">
        <v>1</v>
      </c>
      <c r="C8" s="337"/>
      <c r="D8" s="337"/>
      <c r="E8" s="337"/>
      <c r="F8" s="337"/>
      <c r="G8" s="337"/>
      <c r="H8" s="337"/>
      <c r="I8" s="337"/>
      <c r="J8" s="337"/>
      <c r="K8" s="337"/>
      <c r="L8" s="337"/>
      <c r="M8" s="337"/>
      <c r="N8" s="337"/>
      <c r="O8" s="327"/>
    </row>
    <row r="9" ht="6" customHeight="1" spans="1:15">
      <c r="A9" s="327"/>
      <c r="B9" s="259"/>
      <c r="C9" s="267"/>
      <c r="D9" s="302"/>
      <c r="E9" s="258"/>
      <c r="F9" s="261"/>
      <c r="G9" s="303"/>
      <c r="H9" s="260"/>
      <c r="I9" s="275"/>
      <c r="J9" s="274"/>
      <c r="K9" s="274"/>
      <c r="L9" s="275"/>
      <c r="M9" s="260"/>
      <c r="N9" s="303"/>
      <c r="O9" s="327"/>
    </row>
    <row r="10" ht="19.5" customHeight="1" spans="1:15">
      <c r="A10" s="327"/>
      <c r="B10" s="327"/>
      <c r="C10" s="327"/>
      <c r="D10" s="327"/>
      <c r="E10" s="327"/>
      <c r="F10" s="327"/>
      <c r="G10" s="327"/>
      <c r="H10" s="327"/>
      <c r="I10" s="327"/>
      <c r="J10" s="327"/>
      <c r="K10" s="327"/>
      <c r="L10" s="327"/>
      <c r="M10" s="327"/>
      <c r="N10" s="327"/>
      <c r="O10" s="327"/>
    </row>
    <row r="11" ht="30" customHeight="1" spans="1:15">
      <c r="A11" s="327"/>
      <c r="B11" s="327"/>
      <c r="C11" s="327"/>
      <c r="D11" s="327"/>
      <c r="E11" s="327"/>
      <c r="F11" s="327"/>
      <c r="G11" s="327"/>
      <c r="H11" s="327"/>
      <c r="I11" s="327"/>
      <c r="J11" s="327"/>
      <c r="K11" s="327"/>
      <c r="L11" s="327"/>
      <c r="M11" s="327"/>
      <c r="N11" s="327"/>
      <c r="O11" s="327"/>
    </row>
    <row r="12" ht="15.75" customHeight="1" spans="1:15">
      <c r="A12" s="327"/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7"/>
      <c r="N12" s="327"/>
      <c r="O12" s="327"/>
    </row>
    <row r="13" ht="21.75" customHeight="1" spans="1:15">
      <c r="A13" s="327"/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7"/>
      <c r="N13" s="327"/>
      <c r="O13" s="327"/>
    </row>
    <row r="14" ht="21.75" customHeight="1" spans="1:15">
      <c r="A14" s="327"/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7"/>
      <c r="N14" s="327"/>
      <c r="O14" s="327"/>
    </row>
    <row r="15" ht="9.75" customHeight="1" spans="1:15">
      <c r="A15" s="327"/>
      <c r="B15" s="327"/>
      <c r="C15" s="327"/>
      <c r="D15" s="338"/>
      <c r="E15" s="338"/>
      <c r="F15" s="338"/>
      <c r="G15" s="338"/>
      <c r="H15" s="338"/>
      <c r="I15" s="338"/>
      <c r="J15" s="338"/>
      <c r="K15" s="338"/>
      <c r="L15" s="327"/>
      <c r="M15" s="327"/>
      <c r="N15" s="327"/>
      <c r="O15" s="327"/>
    </row>
    <row r="16" ht="30" customHeight="1" spans="1:15">
      <c r="A16" s="327"/>
      <c r="B16" s="327"/>
      <c r="C16" s="327"/>
      <c r="D16" s="339" t="s">
        <v>2</v>
      </c>
      <c r="E16" s="339"/>
      <c r="F16" s="339"/>
      <c r="G16" s="339"/>
      <c r="H16" s="339"/>
      <c r="I16" s="339"/>
      <c r="J16" s="339"/>
      <c r="K16" s="339"/>
      <c r="L16" s="327"/>
      <c r="M16" s="327"/>
      <c r="N16" s="327"/>
      <c r="O16" s="327"/>
    </row>
    <row r="17" ht="30" customHeight="1" spans="1:15">
      <c r="A17" s="327"/>
      <c r="B17" s="327"/>
      <c r="C17" s="327"/>
      <c r="D17" s="340" t="s">
        <v>3</v>
      </c>
      <c r="E17" s="340"/>
      <c r="F17" s="340"/>
      <c r="G17" s="340"/>
      <c r="H17" s="340"/>
      <c r="I17" s="340"/>
      <c r="J17" s="340"/>
      <c r="K17" s="340"/>
      <c r="L17" s="327"/>
      <c r="M17" s="327"/>
      <c r="N17" s="327"/>
      <c r="O17" s="327"/>
    </row>
    <row r="18" ht="31.5" customHeight="1" spans="1:15">
      <c r="A18" s="327"/>
      <c r="B18" s="327"/>
      <c r="C18" s="327"/>
      <c r="D18" s="327"/>
      <c r="E18" s="341"/>
      <c r="F18" s="341"/>
      <c r="G18" s="341"/>
      <c r="H18" s="341"/>
      <c r="I18" s="341"/>
      <c r="J18" s="341"/>
      <c r="K18" s="327"/>
      <c r="L18" s="327"/>
      <c r="M18" s="327"/>
      <c r="N18" s="327"/>
      <c r="O18" s="327"/>
    </row>
    <row r="19" ht="24" customHeight="1" spans="1:15">
      <c r="A19" s="327"/>
      <c r="B19" s="327"/>
      <c r="C19" s="327"/>
      <c r="D19" s="342" t="str">
        <f>IF(E18="","",IF(E18="life2025","✅  ACCESS GRANTED — Navigate to 🏠 HOME tab","❌  Incorrect password. Try again."))</f>
        <v/>
      </c>
      <c r="E19" s="342"/>
      <c r="F19" s="342"/>
      <c r="G19" s="342"/>
      <c r="H19" s="342"/>
      <c r="I19" s="342"/>
      <c r="J19" s="342"/>
      <c r="K19" s="342"/>
      <c r="L19" s="327"/>
      <c r="M19" s="327"/>
      <c r="N19" s="327"/>
      <c r="O19" s="327"/>
    </row>
    <row r="20" ht="24" customHeight="1" spans="1:15">
      <c r="A20" s="327"/>
      <c r="B20" s="327"/>
      <c r="C20" s="327"/>
      <c r="D20" s="343" t="s">
        <v>4</v>
      </c>
      <c r="E20" s="343"/>
      <c r="F20" s="343"/>
      <c r="G20" s="343"/>
      <c r="H20" s="343"/>
      <c r="I20" s="343"/>
      <c r="J20" s="343"/>
      <c r="K20" s="343"/>
      <c r="L20" s="327"/>
      <c r="M20" s="327"/>
      <c r="N20" s="327"/>
      <c r="O20" s="327"/>
    </row>
    <row r="21" ht="24" customHeight="1" spans="1:15">
      <c r="A21" s="327"/>
      <c r="B21" s="327"/>
      <c r="C21" s="327"/>
      <c r="D21" s="344" t="s">
        <v>5</v>
      </c>
      <c r="E21" s="344"/>
      <c r="F21" s="344"/>
      <c r="G21" s="344"/>
      <c r="H21" s="344"/>
      <c r="I21" s="344"/>
      <c r="J21" s="344"/>
      <c r="K21" s="344"/>
      <c r="L21" s="327"/>
      <c r="M21" s="327"/>
      <c r="N21" s="327"/>
      <c r="O21" s="327"/>
    </row>
    <row r="22" ht="9.75" customHeight="1" spans="1:15">
      <c r="A22" s="327"/>
      <c r="B22" s="327"/>
      <c r="C22" s="327"/>
      <c r="D22" s="327"/>
      <c r="E22" s="327"/>
      <c r="F22" s="327"/>
      <c r="G22" s="327"/>
      <c r="H22" s="327"/>
      <c r="I22" s="327"/>
      <c r="J22" s="327"/>
      <c r="K22" s="327"/>
      <c r="L22" s="327"/>
      <c r="M22" s="327"/>
      <c r="N22" s="327"/>
      <c r="O22" s="327"/>
    </row>
    <row r="23" ht="21.75" customHeight="1" spans="1:15">
      <c r="A23" s="327"/>
      <c r="B23" s="327"/>
      <c r="C23" s="327"/>
      <c r="D23" s="327"/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</row>
    <row r="24" ht="21.75" customHeight="1" spans="1:15">
      <c r="A24" s="327"/>
      <c r="B24" s="327"/>
      <c r="C24" s="327"/>
      <c r="D24" s="327"/>
      <c r="E24" s="327"/>
      <c r="F24" s="327"/>
      <c r="G24" s="327"/>
      <c r="H24" s="327"/>
      <c r="I24" s="327"/>
      <c r="J24" s="327"/>
      <c r="K24" s="327"/>
      <c r="L24" s="327"/>
      <c r="M24" s="327"/>
      <c r="N24" s="327"/>
      <c r="O24" s="327"/>
    </row>
    <row r="25" ht="24" customHeight="1" spans="1:15">
      <c r="A25" s="327"/>
      <c r="B25" s="345" t="s">
        <v>6</v>
      </c>
      <c r="C25" s="345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27"/>
    </row>
    <row r="26" ht="24" customHeight="1" spans="1:15">
      <c r="A26" s="327"/>
      <c r="B26" s="103" t="s">
        <v>7</v>
      </c>
      <c r="C26" s="103"/>
      <c r="D26" s="103"/>
      <c r="E26" s="327"/>
      <c r="F26" s="346" t="s">
        <v>8</v>
      </c>
      <c r="G26" s="346"/>
      <c r="H26" s="346"/>
      <c r="I26" s="327"/>
      <c r="J26" s="347" t="s">
        <v>9</v>
      </c>
      <c r="K26" s="347"/>
      <c r="L26" s="347"/>
      <c r="M26" s="327"/>
      <c r="N26" s="327"/>
      <c r="O26" s="327"/>
    </row>
    <row r="27" ht="19.5" customHeight="1" spans="1:15">
      <c r="A27" s="327"/>
      <c r="B27" s="262" t="s">
        <v>10</v>
      </c>
      <c r="C27" s="262"/>
      <c r="D27" s="262"/>
      <c r="E27" s="327"/>
      <c r="F27" s="262" t="s">
        <v>11</v>
      </c>
      <c r="G27" s="262"/>
      <c r="H27" s="262"/>
      <c r="I27" s="327"/>
      <c r="J27" s="262" t="s">
        <v>12</v>
      </c>
      <c r="K27" s="262"/>
      <c r="L27" s="262"/>
      <c r="M27" s="327"/>
      <c r="N27" s="327"/>
      <c r="O27" s="327"/>
    </row>
    <row r="28" ht="21.75" customHeight="1" spans="1:15">
      <c r="A28" s="327"/>
      <c r="B28" s="327"/>
      <c r="C28" s="327"/>
      <c r="D28" s="327"/>
      <c r="E28" s="327"/>
      <c r="F28" s="327"/>
      <c r="G28" s="327"/>
      <c r="H28" s="327"/>
      <c r="I28" s="327"/>
      <c r="J28" s="327"/>
      <c r="K28" s="327"/>
      <c r="L28" s="327"/>
      <c r="M28" s="327"/>
      <c r="N28" s="327"/>
      <c r="O28" s="327"/>
    </row>
    <row r="29" ht="24" customHeight="1" spans="1:15">
      <c r="A29" s="327"/>
      <c r="B29" s="348" t="s">
        <v>13</v>
      </c>
      <c r="C29" s="348"/>
      <c r="D29" s="348"/>
      <c r="E29" s="327"/>
      <c r="F29" s="349" t="s">
        <v>14</v>
      </c>
      <c r="G29" s="349"/>
      <c r="H29" s="349"/>
      <c r="I29" s="327"/>
      <c r="J29" s="350" t="s">
        <v>15</v>
      </c>
      <c r="K29" s="350"/>
      <c r="L29" s="350"/>
      <c r="M29" s="327"/>
      <c r="N29" s="327"/>
      <c r="O29" s="327"/>
    </row>
    <row r="30" ht="19.5" customHeight="1" spans="1:15">
      <c r="A30" s="327"/>
      <c r="B30" s="262" t="s">
        <v>16</v>
      </c>
      <c r="C30" s="262"/>
      <c r="D30" s="262"/>
      <c r="E30" s="327"/>
      <c r="F30" s="262" t="s">
        <v>17</v>
      </c>
      <c r="G30" s="262"/>
      <c r="H30" s="262"/>
      <c r="I30" s="327"/>
      <c r="J30" s="262" t="s">
        <v>18</v>
      </c>
      <c r="K30" s="262"/>
      <c r="L30" s="262"/>
      <c r="M30" s="327"/>
      <c r="N30" s="327"/>
      <c r="O30" s="327"/>
    </row>
    <row r="31" ht="19.5" customHeight="1" spans="1:15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</row>
    <row r="32" ht="19.5" customHeight="1" spans="1:15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</row>
    <row r="33" ht="19.5" customHeight="1" spans="1:15">
      <c r="A33" s="327"/>
      <c r="B33" s="351" t="s">
        <v>19</v>
      </c>
      <c r="C33" s="351"/>
      <c r="D33" s="351"/>
      <c r="E33" s="351"/>
      <c r="F33" s="351"/>
      <c r="G33" s="351"/>
      <c r="H33" s="351"/>
      <c r="I33" s="351"/>
      <c r="J33" s="351"/>
      <c r="K33" s="351"/>
      <c r="L33" s="351"/>
      <c r="M33" s="351"/>
      <c r="N33" s="351"/>
      <c r="O33" s="327"/>
    </row>
    <row r="34" ht="21.75" customHeight="1" spans="1:15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</row>
    <row r="35" ht="21.75" customHeight="1" spans="1:15">
      <c r="A35" s="327"/>
      <c r="B35" s="327"/>
      <c r="C35" s="327"/>
      <c r="D35" s="327"/>
      <c r="E35" s="327"/>
      <c r="F35" s="327"/>
      <c r="G35" s="327"/>
      <c r="H35" s="327"/>
      <c r="I35" s="327"/>
      <c r="J35" s="327"/>
      <c r="K35" s="327"/>
      <c r="L35" s="327"/>
      <c r="M35" s="327"/>
      <c r="N35" s="327"/>
      <c r="O35" s="327"/>
    </row>
    <row r="36" ht="21.75" customHeight="1" spans="1:15">
      <c r="A36" s="327"/>
      <c r="B36" s="327"/>
      <c r="C36" s="327"/>
      <c r="D36" s="327"/>
      <c r="E36" s="327"/>
      <c r="F36" s="327"/>
      <c r="G36" s="327"/>
      <c r="H36" s="327"/>
      <c r="I36" s="327"/>
      <c r="J36" s="327"/>
      <c r="K36" s="327"/>
      <c r="L36" s="327"/>
      <c r="M36" s="327"/>
      <c r="N36" s="327"/>
      <c r="O36" s="327"/>
    </row>
    <row r="37" ht="21.75" customHeight="1" spans="1:15">
      <c r="A37" s="327"/>
      <c r="B37" s="327"/>
      <c r="C37" s="327"/>
      <c r="D37" s="327"/>
      <c r="E37" s="327"/>
      <c r="F37" s="327"/>
      <c r="G37" s="327"/>
      <c r="H37" s="327"/>
      <c r="I37" s="327"/>
      <c r="J37" s="327"/>
      <c r="K37" s="327"/>
      <c r="L37" s="327"/>
      <c r="M37" s="327"/>
      <c r="N37" s="327"/>
      <c r="O37" s="327"/>
    </row>
    <row r="38" ht="21.75" customHeight="1" spans="1:15">
      <c r="A38" s="327"/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</row>
    <row r="39" ht="21.75" customHeight="1" spans="1:15">
      <c r="A39" s="327"/>
      <c r="B39" s="327"/>
      <c r="C39" s="327"/>
      <c r="D39" s="327"/>
      <c r="E39" s="327"/>
      <c r="F39" s="327"/>
      <c r="G39" s="327"/>
      <c r="H39" s="327"/>
      <c r="I39" s="327"/>
      <c r="J39" s="327"/>
      <c r="K39" s="327"/>
      <c r="L39" s="327"/>
      <c r="M39" s="327"/>
      <c r="N39" s="327"/>
      <c r="O39" s="327"/>
    </row>
    <row r="40" ht="21.75" customHeight="1" spans="1:15">
      <c r="A40" s="327"/>
      <c r="B40" s="327"/>
      <c r="C40" s="327"/>
      <c r="D40" s="327"/>
      <c r="E40" s="327"/>
      <c r="F40" s="327"/>
      <c r="G40" s="327"/>
      <c r="H40" s="327"/>
      <c r="I40" s="327"/>
      <c r="J40" s="327"/>
      <c r="K40" s="327"/>
      <c r="L40" s="327"/>
      <c r="M40" s="327"/>
      <c r="N40" s="327"/>
      <c r="O40" s="327"/>
    </row>
    <row r="41" ht="21.75" customHeight="1" spans="1:15">
      <c r="A41" s="327"/>
      <c r="B41" s="327"/>
      <c r="C41" s="327"/>
      <c r="D41" s="327"/>
      <c r="E41" s="327"/>
      <c r="F41" s="327"/>
      <c r="G41" s="327"/>
      <c r="H41" s="327"/>
      <c r="I41" s="327"/>
      <c r="J41" s="327"/>
      <c r="K41" s="327"/>
      <c r="L41" s="327"/>
      <c r="M41" s="327"/>
      <c r="N41" s="327"/>
      <c r="O41" s="327"/>
    </row>
    <row r="42" ht="21.75" customHeight="1" spans="1:15">
      <c r="A42" s="327"/>
      <c r="B42" s="327"/>
      <c r="C42" s="327"/>
      <c r="D42" s="327"/>
      <c r="E42" s="327"/>
      <c r="F42" s="327"/>
      <c r="G42" s="327"/>
      <c r="H42" s="327"/>
      <c r="I42" s="327"/>
      <c r="J42" s="327"/>
      <c r="K42" s="327"/>
      <c r="L42" s="327"/>
      <c r="M42" s="327"/>
      <c r="N42" s="327"/>
      <c r="O42" s="327"/>
    </row>
    <row r="43" ht="21.75" customHeight="1" spans="1:15">
      <c r="A43" s="327"/>
      <c r="B43" s="327"/>
      <c r="C43" s="327"/>
      <c r="D43" s="327"/>
      <c r="E43" s="327"/>
      <c r="F43" s="327"/>
      <c r="G43" s="327"/>
      <c r="H43" s="327"/>
      <c r="I43" s="327"/>
      <c r="J43" s="327"/>
      <c r="K43" s="327"/>
      <c r="L43" s="327"/>
      <c r="M43" s="327"/>
      <c r="N43" s="327"/>
      <c r="O43" s="327"/>
    </row>
    <row r="44" ht="21.75" customHeight="1" spans="1:15">
      <c r="A44" s="327"/>
      <c r="B44" s="327"/>
      <c r="C44" s="327"/>
      <c r="D44" s="327"/>
      <c r="E44" s="327"/>
      <c r="F44" s="327"/>
      <c r="G44" s="327"/>
      <c r="H44" s="327"/>
      <c r="I44" s="327"/>
      <c r="J44" s="327"/>
      <c r="K44" s="327"/>
      <c r="L44" s="327"/>
      <c r="M44" s="327"/>
      <c r="N44" s="327"/>
      <c r="O44" s="327"/>
    </row>
    <row r="45" ht="21.75" customHeight="1" spans="1:15">
      <c r="A45" s="327"/>
      <c r="B45" s="327"/>
      <c r="C45" s="327"/>
      <c r="D45" s="327"/>
      <c r="E45" s="327"/>
      <c r="F45" s="327"/>
      <c r="G45" s="327"/>
      <c r="H45" s="327"/>
      <c r="I45" s="327"/>
      <c r="J45" s="327"/>
      <c r="K45" s="327"/>
      <c r="L45" s="327"/>
      <c r="M45" s="327"/>
      <c r="N45" s="327"/>
      <c r="O45" s="327"/>
    </row>
    <row r="46" ht="21.75" customHeight="1" spans="1:15">
      <c r="A46" s="327"/>
      <c r="B46" s="327"/>
      <c r="C46" s="327"/>
      <c r="D46" s="327"/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</row>
    <row r="47" ht="21.75" customHeight="1" spans="1:15">
      <c r="A47" s="327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</row>
    <row r="48" ht="21.75" customHeight="1" spans="1:15">
      <c r="A48" s="327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</row>
    <row r="49" ht="21.75" customHeight="1" spans="1:15">
      <c r="A49" s="327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</row>
  </sheetData>
  <mergeCells count="23">
    <mergeCell ref="B7:N7"/>
    <mergeCell ref="B8:N8"/>
    <mergeCell ref="D15:K15"/>
    <mergeCell ref="D16:K16"/>
    <mergeCell ref="D17:K17"/>
    <mergeCell ref="E18:J18"/>
    <mergeCell ref="D19:K19"/>
    <mergeCell ref="D20:K20"/>
    <mergeCell ref="D21:K21"/>
    <mergeCell ref="B25:N25"/>
    <mergeCell ref="B26:D26"/>
    <mergeCell ref="F26:H26"/>
    <mergeCell ref="J26:L26"/>
    <mergeCell ref="B27:D27"/>
    <mergeCell ref="F27:H27"/>
    <mergeCell ref="J27:L27"/>
    <mergeCell ref="B29:D29"/>
    <mergeCell ref="F29:H29"/>
    <mergeCell ref="J29:L29"/>
    <mergeCell ref="B30:D30"/>
    <mergeCell ref="F30:H30"/>
    <mergeCell ref="J30:L30"/>
    <mergeCell ref="B33:N33"/>
  </mergeCells>
  <pageMargins left="0.25" right="0.25" top="0.4" bottom="0.4" header="0.511811023622047" footer="0.511811023622047"/>
  <pageSetup paperSize="1" fitToHeight="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E3A5F"/>
    <pageSetUpPr fitToPage="1"/>
  </sheetPr>
  <dimension ref="A1:S59"/>
  <sheetViews>
    <sheetView showGridLines="0" zoomScale="90" zoomScaleNormal="90" workbookViewId="0">
      <selection activeCell="B14" sqref="B14:D14"/>
    </sheetView>
  </sheetViews>
  <sheetFormatPr defaultColWidth="8.68181818181818" defaultRowHeight="14.5"/>
  <cols>
    <col min="1" max="1" width="3" customWidth="1"/>
    <col min="2" max="18" width="15" customWidth="1"/>
    <col min="19" max="19" width="3" customWidth="1"/>
  </cols>
  <sheetData>
    <row r="1" ht="6" customHeight="1" spans="1:19">
      <c r="A1" s="149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</row>
    <row r="2" ht="43.5" customHeight="1" spans="1:19">
      <c r="A2" s="149"/>
      <c r="B2" s="300" t="s">
        <v>20</v>
      </c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149"/>
    </row>
    <row r="3" ht="18" customHeight="1" spans="1:19">
      <c r="A3" s="149"/>
      <c r="B3" s="301" t="s">
        <v>21</v>
      </c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149"/>
    </row>
    <row r="4" ht="4.5" customHeight="1" spans="1:19">
      <c r="A4" s="149"/>
      <c r="B4" s="259"/>
      <c r="C4" s="267"/>
      <c r="D4" s="302"/>
      <c r="E4" s="258"/>
      <c r="F4" s="268"/>
      <c r="G4" s="261"/>
      <c r="H4" s="303"/>
      <c r="I4" s="260"/>
      <c r="J4" s="275"/>
      <c r="K4" s="274"/>
      <c r="L4" s="259"/>
      <c r="M4" s="267"/>
      <c r="N4" s="302"/>
      <c r="O4" s="258"/>
      <c r="P4" s="261"/>
      <c r="Q4" s="260"/>
      <c r="R4" s="149"/>
      <c r="S4" s="149"/>
    </row>
    <row r="5" ht="18" customHeight="1" spans="1:19">
      <c r="A5" s="149"/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</row>
    <row r="6" ht="3.75" customHeight="1" spans="1:19">
      <c r="A6" s="149"/>
      <c r="B6" s="304"/>
      <c r="C6" s="304"/>
      <c r="D6" s="304"/>
      <c r="E6" s="149"/>
      <c r="F6" s="260"/>
      <c r="G6" s="260"/>
      <c r="H6" s="260"/>
      <c r="I6" s="149"/>
      <c r="J6" s="258"/>
      <c r="K6" s="258"/>
      <c r="L6" s="258"/>
      <c r="M6" s="149"/>
      <c r="N6" s="259"/>
      <c r="O6" s="259"/>
      <c r="P6" s="259"/>
      <c r="Q6" s="149"/>
      <c r="R6" s="149"/>
      <c r="S6" s="149"/>
    </row>
    <row r="7" ht="25.5" customHeight="1" spans="1:19">
      <c r="A7" s="149"/>
      <c r="B7" s="305" t="s">
        <v>22</v>
      </c>
      <c r="C7" s="305"/>
      <c r="D7" s="305"/>
      <c r="E7" s="149"/>
      <c r="F7" s="306" t="s">
        <v>23</v>
      </c>
      <c r="G7" s="306"/>
      <c r="H7" s="306"/>
      <c r="I7" s="149"/>
      <c r="J7" s="307" t="s">
        <v>24</v>
      </c>
      <c r="K7" s="307"/>
      <c r="L7" s="307"/>
      <c r="M7" s="149"/>
      <c r="N7" s="308" t="s">
        <v>25</v>
      </c>
      <c r="O7" s="308"/>
      <c r="P7" s="308"/>
      <c r="Q7" s="149"/>
      <c r="R7" s="149"/>
      <c r="S7" s="149"/>
    </row>
    <row r="8" ht="19.5" customHeight="1" spans="1:19">
      <c r="A8" s="149"/>
      <c r="B8" s="309" t="s">
        <v>26</v>
      </c>
      <c r="C8" s="309"/>
      <c r="D8" s="309"/>
      <c r="E8" s="149"/>
      <c r="F8" s="309" t="s">
        <v>27</v>
      </c>
      <c r="G8" s="309"/>
      <c r="H8" s="309"/>
      <c r="I8" s="149"/>
      <c r="J8" s="309" t="s">
        <v>28</v>
      </c>
      <c r="K8" s="309"/>
      <c r="L8" s="309"/>
      <c r="M8" s="149"/>
      <c r="N8" s="309" t="s">
        <v>29</v>
      </c>
      <c r="O8" s="309"/>
      <c r="P8" s="309"/>
      <c r="Q8" s="149"/>
      <c r="R8" s="149"/>
      <c r="S8" s="149"/>
    </row>
    <row r="9" ht="18" customHeight="1" spans="1:19">
      <c r="A9" s="149"/>
      <c r="B9" s="310" t="s">
        <v>30</v>
      </c>
      <c r="C9" s="310"/>
      <c r="D9" s="310"/>
      <c r="E9" s="149"/>
      <c r="F9" s="311" t="s">
        <v>31</v>
      </c>
      <c r="G9" s="311"/>
      <c r="H9" s="311"/>
      <c r="I9" s="149"/>
      <c r="J9" s="312" t="s">
        <v>32</v>
      </c>
      <c r="K9" s="312"/>
      <c r="L9" s="312"/>
      <c r="M9" s="149"/>
      <c r="N9" s="313" t="s">
        <v>33</v>
      </c>
      <c r="O9" s="313"/>
      <c r="P9" s="313"/>
      <c r="Q9" s="149"/>
      <c r="R9" s="149"/>
      <c r="S9" s="149"/>
    </row>
    <row r="10" ht="4.5" customHeight="1" spans="1:19">
      <c r="A10" s="149"/>
      <c r="B10" s="314"/>
      <c r="C10" s="314"/>
      <c r="D10" s="314"/>
      <c r="E10" s="149"/>
      <c r="F10" s="314"/>
      <c r="G10" s="314"/>
      <c r="H10" s="314"/>
      <c r="I10" s="149"/>
      <c r="J10" s="314"/>
      <c r="K10" s="314"/>
      <c r="L10" s="314"/>
      <c r="M10" s="149"/>
      <c r="N10" s="314"/>
      <c r="O10" s="314"/>
      <c r="P10" s="314"/>
      <c r="Q10" s="149"/>
      <c r="R10" s="149"/>
      <c r="S10" s="149"/>
    </row>
    <row r="11" ht="18" customHeight="1" spans="1:19">
      <c r="A11" s="149"/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</row>
    <row r="12" ht="3.75" customHeight="1" spans="1:19">
      <c r="A12" s="149"/>
      <c r="B12" s="302"/>
      <c r="C12" s="302"/>
      <c r="D12" s="302"/>
      <c r="E12" s="149"/>
      <c r="F12" s="275"/>
      <c r="G12" s="275"/>
      <c r="H12" s="275"/>
      <c r="I12" s="149"/>
      <c r="J12" s="261"/>
      <c r="K12" s="261"/>
      <c r="L12" s="261"/>
      <c r="M12" s="149"/>
      <c r="N12" s="267"/>
      <c r="O12" s="267"/>
      <c r="P12" s="267"/>
      <c r="Q12" s="149"/>
      <c r="R12" s="149"/>
      <c r="S12" s="149"/>
    </row>
    <row r="13" ht="25.5" customHeight="1" spans="1:19">
      <c r="A13" s="149"/>
      <c r="B13" s="315" t="s">
        <v>34</v>
      </c>
      <c r="C13" s="315"/>
      <c r="D13" s="315"/>
      <c r="E13" s="149"/>
      <c r="F13" s="316" t="s">
        <v>35</v>
      </c>
      <c r="G13" s="316"/>
      <c r="H13" s="316"/>
      <c r="I13" s="149"/>
      <c r="J13" s="317" t="s">
        <v>36</v>
      </c>
      <c r="K13" s="317"/>
      <c r="L13" s="317"/>
      <c r="M13" s="149"/>
      <c r="N13" s="318" t="s">
        <v>37</v>
      </c>
      <c r="O13" s="318"/>
      <c r="P13" s="318"/>
      <c r="Q13" s="149"/>
      <c r="R13" s="149"/>
      <c r="S13" s="149"/>
    </row>
    <row r="14" ht="19.5" customHeight="1" spans="1:19">
      <c r="A14" s="149"/>
      <c r="B14" s="309" t="s">
        <v>38</v>
      </c>
      <c r="C14" s="309"/>
      <c r="D14" s="309"/>
      <c r="E14" s="149"/>
      <c r="F14" s="309" t="s">
        <v>39</v>
      </c>
      <c r="G14" s="309"/>
      <c r="H14" s="309"/>
      <c r="I14" s="149"/>
      <c r="J14" s="309" t="s">
        <v>40</v>
      </c>
      <c r="K14" s="309"/>
      <c r="L14" s="309"/>
      <c r="M14" s="149"/>
      <c r="N14" s="309" t="s">
        <v>41</v>
      </c>
      <c r="O14" s="309"/>
      <c r="P14" s="309"/>
      <c r="Q14" s="149"/>
      <c r="R14" s="149"/>
      <c r="S14" s="149"/>
    </row>
    <row r="15" ht="18" customHeight="1" spans="1:19">
      <c r="A15" s="149"/>
      <c r="B15" s="319" t="s">
        <v>42</v>
      </c>
      <c r="C15" s="319"/>
      <c r="D15" s="319"/>
      <c r="E15" s="149"/>
      <c r="F15" s="320" t="s">
        <v>43</v>
      </c>
      <c r="G15" s="320"/>
      <c r="H15" s="320"/>
      <c r="I15" s="149"/>
      <c r="J15" s="321" t="s">
        <v>44</v>
      </c>
      <c r="K15" s="321"/>
      <c r="L15" s="321"/>
      <c r="M15" s="149"/>
      <c r="N15" s="322" t="s">
        <v>45</v>
      </c>
      <c r="O15" s="322"/>
      <c r="P15" s="322"/>
      <c r="Q15" s="149"/>
      <c r="R15" s="149"/>
      <c r="S15" s="149"/>
    </row>
    <row r="16" ht="4.5" customHeight="1" spans="1:19">
      <c r="A16" s="149"/>
      <c r="B16" s="314"/>
      <c r="C16" s="314"/>
      <c r="D16" s="314"/>
      <c r="E16" s="149"/>
      <c r="F16" s="314"/>
      <c r="G16" s="314"/>
      <c r="H16" s="314"/>
      <c r="I16" s="149"/>
      <c r="J16" s="314"/>
      <c r="K16" s="314"/>
      <c r="L16" s="314"/>
      <c r="M16" s="149"/>
      <c r="N16" s="314"/>
      <c r="O16" s="314"/>
      <c r="P16" s="314"/>
      <c r="Q16" s="149"/>
      <c r="R16" s="149"/>
      <c r="S16" s="149"/>
    </row>
    <row r="17" ht="18" customHeight="1" spans="1:19">
      <c r="A17" s="149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</row>
    <row r="18" ht="3.75" customHeight="1" spans="1:19">
      <c r="A18" s="149"/>
      <c r="B18" s="261"/>
      <c r="C18" s="261"/>
      <c r="D18" s="261"/>
      <c r="E18" s="149"/>
      <c r="F18" s="268"/>
      <c r="G18" s="268"/>
      <c r="H18" s="268"/>
      <c r="I18" s="149"/>
      <c r="J18" s="303"/>
      <c r="K18" s="303"/>
      <c r="L18" s="303"/>
      <c r="M18" s="149"/>
      <c r="N18" s="303"/>
      <c r="O18" s="303"/>
      <c r="P18" s="303"/>
      <c r="Q18" s="149"/>
      <c r="R18" s="149"/>
      <c r="S18" s="149"/>
    </row>
    <row r="19" ht="25.5" customHeight="1" spans="1:19">
      <c r="A19" s="149"/>
      <c r="B19" s="317" t="s">
        <v>46</v>
      </c>
      <c r="C19" s="317"/>
      <c r="D19" s="317"/>
      <c r="E19" s="149"/>
      <c r="F19" s="323" t="s">
        <v>47</v>
      </c>
      <c r="G19" s="323"/>
      <c r="H19" s="323"/>
      <c r="I19" s="149"/>
      <c r="J19" s="324" t="s">
        <v>48</v>
      </c>
      <c r="K19" s="324"/>
      <c r="L19" s="324"/>
      <c r="M19" s="149"/>
      <c r="N19" s="324" t="s">
        <v>49</v>
      </c>
      <c r="O19" s="324"/>
      <c r="P19" s="324"/>
      <c r="Q19" s="149"/>
      <c r="R19" s="149"/>
      <c r="S19" s="149"/>
    </row>
    <row r="20" ht="19.5" customHeight="1" spans="1:19">
      <c r="A20" s="149"/>
      <c r="B20" s="309" t="s">
        <v>50</v>
      </c>
      <c r="C20" s="309"/>
      <c r="D20" s="309"/>
      <c r="E20" s="149"/>
      <c r="F20" s="309" t="s">
        <v>51</v>
      </c>
      <c r="G20" s="309"/>
      <c r="H20" s="309"/>
      <c r="I20" s="149"/>
      <c r="J20" s="309" t="s">
        <v>52</v>
      </c>
      <c r="K20" s="309"/>
      <c r="L20" s="309"/>
      <c r="M20" s="149"/>
      <c r="N20" s="309" t="s">
        <v>53</v>
      </c>
      <c r="O20" s="309"/>
      <c r="P20" s="309"/>
      <c r="Q20" s="149"/>
      <c r="R20" s="149"/>
      <c r="S20" s="149"/>
    </row>
    <row r="21" ht="18" customHeight="1" spans="1:19">
      <c r="A21" s="149"/>
      <c r="B21" s="321" t="s">
        <v>54</v>
      </c>
      <c r="C21" s="321"/>
      <c r="D21" s="321"/>
      <c r="E21" s="149"/>
      <c r="F21" s="325" t="s">
        <v>55</v>
      </c>
      <c r="G21" s="325"/>
      <c r="H21" s="325"/>
      <c r="I21" s="149"/>
      <c r="J21" s="326" t="s">
        <v>56</v>
      </c>
      <c r="K21" s="326"/>
      <c r="L21" s="326"/>
      <c r="M21" s="149"/>
      <c r="N21" s="326" t="s">
        <v>57</v>
      </c>
      <c r="O21" s="326"/>
      <c r="P21" s="326"/>
      <c r="Q21" s="149"/>
      <c r="R21" s="149"/>
      <c r="S21" s="149"/>
    </row>
    <row r="22" ht="4.5" customHeight="1" spans="1:19">
      <c r="A22" s="149"/>
      <c r="B22" s="314"/>
      <c r="C22" s="314"/>
      <c r="D22" s="314"/>
      <c r="E22" s="149"/>
      <c r="F22" s="314"/>
      <c r="G22" s="314"/>
      <c r="H22" s="314"/>
      <c r="I22" s="149"/>
      <c r="J22" s="314"/>
      <c r="K22" s="314"/>
      <c r="L22" s="314"/>
      <c r="M22" s="149"/>
      <c r="N22" s="314"/>
      <c r="O22" s="314"/>
      <c r="P22" s="314"/>
      <c r="Q22" s="149"/>
      <c r="R22" s="149"/>
      <c r="S22" s="149"/>
    </row>
    <row r="23" ht="18" customHeight="1" spans="1:19">
      <c r="A23" s="149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</row>
    <row r="24" ht="3.75" customHeight="1" spans="1:19">
      <c r="A24" s="149"/>
      <c r="B24" s="267"/>
      <c r="C24" s="267"/>
      <c r="D24" s="267"/>
      <c r="E24" s="149"/>
      <c r="F24" s="259"/>
      <c r="G24" s="259"/>
      <c r="H24" s="259"/>
      <c r="I24" s="149"/>
      <c r="J24" s="327"/>
      <c r="K24" s="327"/>
      <c r="L24" s="327"/>
      <c r="M24" s="149"/>
      <c r="N24" s="274"/>
      <c r="O24" s="274"/>
      <c r="P24" s="274"/>
      <c r="Q24" s="149"/>
      <c r="R24" s="149"/>
      <c r="S24" s="149"/>
    </row>
    <row r="25" ht="25.5" customHeight="1" spans="1:19">
      <c r="A25" s="149"/>
      <c r="B25" s="318" t="s">
        <v>58</v>
      </c>
      <c r="C25" s="318"/>
      <c r="D25" s="318"/>
      <c r="E25" s="149"/>
      <c r="F25" s="308" t="s">
        <v>59</v>
      </c>
      <c r="G25" s="308"/>
      <c r="H25" s="308"/>
      <c r="I25" s="149"/>
      <c r="J25" s="328" t="s">
        <v>60</v>
      </c>
      <c r="K25" s="328"/>
      <c r="L25" s="328"/>
      <c r="M25" s="149"/>
      <c r="N25" s="329" t="s">
        <v>61</v>
      </c>
      <c r="O25" s="329"/>
      <c r="P25" s="329"/>
      <c r="Q25" s="149"/>
      <c r="R25" s="149"/>
      <c r="S25" s="149"/>
    </row>
    <row r="26" ht="19.5" customHeight="1" spans="1:19">
      <c r="A26" s="149"/>
      <c r="B26" s="309" t="s">
        <v>62</v>
      </c>
      <c r="C26" s="309"/>
      <c r="D26" s="309"/>
      <c r="E26" s="149"/>
      <c r="F26" s="309" t="s">
        <v>63</v>
      </c>
      <c r="G26" s="309"/>
      <c r="H26" s="309"/>
      <c r="I26" s="149"/>
      <c r="J26" s="309" t="s">
        <v>64</v>
      </c>
      <c r="K26" s="309"/>
      <c r="L26" s="309"/>
      <c r="M26" s="149"/>
      <c r="N26" s="309" t="s">
        <v>65</v>
      </c>
      <c r="O26" s="309"/>
      <c r="P26" s="309"/>
      <c r="Q26" s="149"/>
      <c r="R26" s="149"/>
      <c r="S26" s="149"/>
    </row>
    <row r="27" ht="18" customHeight="1" spans="1:19">
      <c r="A27" s="149"/>
      <c r="B27" s="322" t="s">
        <v>66</v>
      </c>
      <c r="C27" s="322"/>
      <c r="D27" s="322"/>
      <c r="E27" s="149"/>
      <c r="F27" s="313" t="s">
        <v>67</v>
      </c>
      <c r="G27" s="313"/>
      <c r="H27" s="313"/>
      <c r="I27" s="149"/>
      <c r="J27" s="330" t="s">
        <v>68</v>
      </c>
      <c r="K27" s="330"/>
      <c r="L27" s="330"/>
      <c r="M27" s="149"/>
      <c r="N27" s="331" t="s">
        <v>69</v>
      </c>
      <c r="O27" s="331"/>
      <c r="P27" s="331"/>
      <c r="Q27" s="149"/>
      <c r="R27" s="149"/>
      <c r="S27" s="149"/>
    </row>
    <row r="28" ht="4.5" customHeight="1" spans="1:19">
      <c r="A28" s="149"/>
      <c r="B28" s="314"/>
      <c r="C28" s="314"/>
      <c r="D28" s="314"/>
      <c r="E28" s="149"/>
      <c r="F28" s="314"/>
      <c r="G28" s="314"/>
      <c r="H28" s="314"/>
      <c r="I28" s="149"/>
      <c r="J28" s="314"/>
      <c r="K28" s="314"/>
      <c r="L28" s="314"/>
      <c r="M28" s="149"/>
      <c r="N28" s="314"/>
      <c r="O28" s="314"/>
      <c r="P28" s="314"/>
      <c r="Q28" s="149"/>
      <c r="R28" s="149"/>
      <c r="S28" s="149"/>
    </row>
    <row r="29" ht="18" customHeight="1" spans="1:19">
      <c r="A29" s="149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</row>
    <row r="30" ht="3.75" customHeight="1" spans="1:19">
      <c r="A30" s="149"/>
      <c r="B30" s="302"/>
      <c r="C30" s="302"/>
      <c r="D30" s="302"/>
      <c r="E30" s="149"/>
      <c r="F30" s="275"/>
      <c r="G30" s="275"/>
      <c r="H30" s="275"/>
      <c r="I30" s="149"/>
      <c r="J30" s="304"/>
      <c r="K30" s="304"/>
      <c r="L30" s="304"/>
      <c r="M30" s="149"/>
      <c r="N30" s="149"/>
      <c r="O30" s="149"/>
      <c r="P30" s="149"/>
      <c r="Q30" s="149"/>
      <c r="R30" s="149"/>
      <c r="S30" s="149"/>
    </row>
    <row r="31" ht="25.5" customHeight="1" spans="1:19">
      <c r="A31" s="149"/>
      <c r="B31" s="315" t="s">
        <v>70</v>
      </c>
      <c r="C31" s="315"/>
      <c r="D31" s="315"/>
      <c r="E31" s="149"/>
      <c r="F31" s="316" t="s">
        <v>71</v>
      </c>
      <c r="G31" s="316"/>
      <c r="H31" s="316"/>
      <c r="I31" s="149"/>
      <c r="J31" s="305" t="s">
        <v>72</v>
      </c>
      <c r="K31" s="305"/>
      <c r="L31" s="305"/>
      <c r="M31" s="149"/>
      <c r="N31" s="149"/>
      <c r="O31" s="149"/>
      <c r="P31" s="149"/>
      <c r="Q31" s="149"/>
      <c r="R31" s="149"/>
      <c r="S31" s="149"/>
    </row>
    <row r="32" ht="19.5" customHeight="1" spans="1:19">
      <c r="A32" s="149"/>
      <c r="B32" s="309" t="s">
        <v>73</v>
      </c>
      <c r="C32" s="309"/>
      <c r="D32" s="309"/>
      <c r="E32" s="149"/>
      <c r="F32" s="309" t="s">
        <v>74</v>
      </c>
      <c r="G32" s="309"/>
      <c r="H32" s="309"/>
      <c r="I32" s="149"/>
      <c r="J32" s="309" t="s">
        <v>75</v>
      </c>
      <c r="K32" s="309"/>
      <c r="L32" s="309"/>
      <c r="M32" s="149"/>
      <c r="N32" s="149"/>
      <c r="O32" s="149"/>
      <c r="P32" s="149"/>
      <c r="Q32" s="149"/>
      <c r="R32" s="149"/>
      <c r="S32" s="149"/>
    </row>
    <row r="33" ht="18" customHeight="1" spans="1:19">
      <c r="A33" s="149"/>
      <c r="B33" s="319" t="s">
        <v>76</v>
      </c>
      <c r="C33" s="319"/>
      <c r="D33" s="319"/>
      <c r="E33" s="149"/>
      <c r="F33" s="320" t="s">
        <v>77</v>
      </c>
      <c r="G33" s="320"/>
      <c r="H33" s="320"/>
      <c r="I33" s="149"/>
      <c r="J33" s="310" t="s">
        <v>78</v>
      </c>
      <c r="K33" s="310"/>
      <c r="L33" s="310"/>
      <c r="M33" s="149"/>
      <c r="N33" s="149"/>
      <c r="O33" s="149"/>
      <c r="P33" s="149"/>
      <c r="Q33" s="149"/>
      <c r="R33" s="149"/>
      <c r="S33" s="149"/>
    </row>
    <row r="34" ht="4.5" customHeight="1" spans="1:19">
      <c r="A34" s="149"/>
      <c r="B34" s="314"/>
      <c r="C34" s="314"/>
      <c r="D34" s="314"/>
      <c r="E34" s="149"/>
      <c r="F34" s="314"/>
      <c r="G34" s="314"/>
      <c r="H34" s="314"/>
      <c r="I34" s="149"/>
      <c r="J34" s="314"/>
      <c r="K34" s="314"/>
      <c r="L34" s="314"/>
      <c r="M34" s="149"/>
      <c r="N34" s="149"/>
      <c r="O34" s="149"/>
      <c r="P34" s="149"/>
      <c r="Q34" s="149"/>
      <c r="R34" s="149"/>
      <c r="S34" s="149"/>
    </row>
    <row r="35" ht="18" customHeight="1" spans="1:19">
      <c r="A35" s="149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</row>
    <row r="36" ht="18" customHeight="1" spans="1:19">
      <c r="A36" s="149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</row>
    <row r="37" ht="18" customHeight="1" spans="1:19">
      <c r="A37" s="149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</row>
    <row r="38" ht="6" customHeight="1" spans="1:19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</row>
    <row r="39" ht="24" customHeight="1" spans="1:19">
      <c r="A39" s="149"/>
      <c r="B39" s="328" t="s">
        <v>79</v>
      </c>
      <c r="C39" s="328"/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149"/>
    </row>
    <row r="40" ht="21.75" customHeight="1" spans="1:19">
      <c r="A40" s="149"/>
      <c r="B40" s="262" t="s">
        <v>80</v>
      </c>
      <c r="C40" s="262"/>
      <c r="D40" s="262"/>
      <c r="E40" s="262"/>
      <c r="F40" s="262" t="s">
        <v>81</v>
      </c>
      <c r="G40" s="262"/>
      <c r="H40" s="262"/>
      <c r="I40" s="262"/>
      <c r="J40" s="262" t="s">
        <v>82</v>
      </c>
      <c r="K40" s="262"/>
      <c r="L40" s="262"/>
      <c r="M40" s="262"/>
      <c r="N40" s="262" t="s">
        <v>83</v>
      </c>
      <c r="O40" s="262"/>
      <c r="P40" s="262"/>
      <c r="Q40" s="262"/>
      <c r="R40" s="149"/>
      <c r="S40" s="149"/>
    </row>
    <row r="41" ht="21.75" customHeight="1" spans="1:19">
      <c r="A41" s="149"/>
      <c r="B41" s="332">
        <f>IFERROR(SUM(INCOME!E4:E18),0)</f>
        <v>31422.5</v>
      </c>
      <c r="C41" s="332"/>
      <c r="D41" s="332"/>
      <c r="E41" s="332"/>
      <c r="F41" s="333">
        <f>IFERROR(SUM(EXPENSES!D4:D28),0)</f>
        <v>6187.98</v>
      </c>
      <c r="G41" s="333"/>
      <c r="H41" s="333"/>
      <c r="I41" s="333"/>
      <c r="J41" s="334">
        <f>IFERROR(COUNTIF(GOALS!G5:G16,"In Progress"),0)</f>
        <v>11</v>
      </c>
      <c r="K41" s="334"/>
      <c r="L41" s="334"/>
      <c r="M41" s="334"/>
      <c r="N41" s="335">
        <f>IFERROR(COUNTIF(TASKS!F5:F24,"Completed"),0)</f>
        <v>4</v>
      </c>
      <c r="O41" s="335"/>
      <c r="P41" s="335"/>
      <c r="Q41" s="335"/>
      <c r="R41" s="149"/>
      <c r="S41" s="149"/>
    </row>
    <row r="42" ht="18" customHeight="1" spans="1:19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</row>
    <row r="43" ht="18" customHeight="1" spans="1:19">
      <c r="A43" s="149"/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</row>
    <row r="44" ht="18" customHeight="1" spans="1:19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</row>
    <row r="45" ht="18" customHeight="1" spans="1:19">
      <c r="A45" s="149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</row>
    <row r="46" ht="18" customHeight="1" spans="1:19">
      <c r="A46" s="149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</row>
    <row r="47" ht="18" customHeight="1" spans="1:19">
      <c r="A47" s="149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</row>
    <row r="48" ht="18" customHeight="1" spans="1:19">
      <c r="A48" s="149"/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</row>
    <row r="49" ht="18" customHeight="1" spans="1:19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</row>
    <row r="50" ht="18" customHeight="1" spans="1:19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</row>
    <row r="51" ht="18" customHeight="1" spans="1:19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</row>
    <row r="52" ht="18" customHeight="1" spans="1:19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</row>
    <row r="53" ht="18" customHeight="1" spans="1:19">
      <c r="A53" s="149"/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</row>
    <row r="54" ht="18" customHeight="1" spans="1:19">
      <c r="A54" s="149"/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</row>
    <row r="55" ht="18" customHeight="1" spans="1:19">
      <c r="A55" s="149"/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</row>
    <row r="56" ht="18" customHeight="1" spans="1:19">
      <c r="A56" s="149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</row>
    <row r="57" ht="18" customHeight="1" spans="1:19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</row>
    <row r="58" ht="18" customHeight="1" spans="1:19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</row>
    <row r="59" ht="18" customHeight="1" spans="1:19">
      <c r="A59" s="149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</row>
  </sheetData>
  <mergeCells count="68">
    <mergeCell ref="B2:R2"/>
    <mergeCell ref="B3:R3"/>
    <mergeCell ref="B7:D7"/>
    <mergeCell ref="F7:H7"/>
    <mergeCell ref="J7:L7"/>
    <mergeCell ref="N7:P7"/>
    <mergeCell ref="B8:D8"/>
    <mergeCell ref="F8:H8"/>
    <mergeCell ref="J8:L8"/>
    <mergeCell ref="N8:P8"/>
    <mergeCell ref="B9:D9"/>
    <mergeCell ref="F9:H9"/>
    <mergeCell ref="J9:L9"/>
    <mergeCell ref="N9:P9"/>
    <mergeCell ref="B13:D13"/>
    <mergeCell ref="F13:H13"/>
    <mergeCell ref="J13:L13"/>
    <mergeCell ref="N13:P13"/>
    <mergeCell ref="B14:D14"/>
    <mergeCell ref="F14:H14"/>
    <mergeCell ref="J14:L14"/>
    <mergeCell ref="N14:P14"/>
    <mergeCell ref="B15:D15"/>
    <mergeCell ref="F15:H15"/>
    <mergeCell ref="J15:L15"/>
    <mergeCell ref="N15:P15"/>
    <mergeCell ref="B19:D19"/>
    <mergeCell ref="F19:H19"/>
    <mergeCell ref="J19:L19"/>
    <mergeCell ref="N19:P19"/>
    <mergeCell ref="B20:D20"/>
    <mergeCell ref="F20:H20"/>
    <mergeCell ref="J20:L20"/>
    <mergeCell ref="N20:P20"/>
    <mergeCell ref="B21:D21"/>
    <mergeCell ref="F21:H21"/>
    <mergeCell ref="J21:L21"/>
    <mergeCell ref="N21:P21"/>
    <mergeCell ref="B25:D25"/>
    <mergeCell ref="F25:H25"/>
    <mergeCell ref="J25:L25"/>
    <mergeCell ref="N25:P25"/>
    <mergeCell ref="B26:D26"/>
    <mergeCell ref="F26:H26"/>
    <mergeCell ref="J26:L26"/>
    <mergeCell ref="N26:P26"/>
    <mergeCell ref="B27:D27"/>
    <mergeCell ref="F27:H27"/>
    <mergeCell ref="J27:L27"/>
    <mergeCell ref="N27:P27"/>
    <mergeCell ref="B31:D31"/>
    <mergeCell ref="F31:H31"/>
    <mergeCell ref="J31:L31"/>
    <mergeCell ref="B32:D32"/>
    <mergeCell ref="F32:H32"/>
    <mergeCell ref="J32:L32"/>
    <mergeCell ref="B33:D33"/>
    <mergeCell ref="F33:H33"/>
    <mergeCell ref="J33:L33"/>
    <mergeCell ref="B39:R39"/>
    <mergeCell ref="B40:E40"/>
    <mergeCell ref="F40:I40"/>
    <mergeCell ref="J40:M40"/>
    <mergeCell ref="N40:Q40"/>
    <mergeCell ref="B41:E41"/>
    <mergeCell ref="F41:I41"/>
    <mergeCell ref="J41:M41"/>
    <mergeCell ref="N41:Q41"/>
  </mergeCells>
  <pageMargins left="0.25" right="0.25" top="0.4" bottom="0.4" header="0.511811023622047" footer="0.511811023622047"/>
  <pageSetup paperSize="1" fitToHeight="0" orientation="landscape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4748B"/>
    <pageSetUpPr fitToPage="1"/>
  </sheetPr>
  <dimension ref="A1:I18"/>
  <sheetViews>
    <sheetView showGridLines="0" zoomScale="90" zoomScaleNormal="90" workbookViewId="0">
      <selection activeCell="B12" sqref="B12"/>
    </sheetView>
  </sheetViews>
  <sheetFormatPr defaultColWidth="8.68181818181818" defaultRowHeight="14.5"/>
  <cols>
    <col min="1" max="1" width="3" customWidth="1"/>
    <col min="2" max="9" width="22" customWidth="1"/>
  </cols>
  <sheetData>
    <row r="1" ht="31.5" customHeight="1" spans="1:9">
      <c r="A1" s="289" t="s">
        <v>84</v>
      </c>
      <c r="B1" s="289"/>
      <c r="C1" s="289"/>
      <c r="D1" s="289"/>
      <c r="E1" s="289"/>
      <c r="F1" s="289"/>
      <c r="G1" s="289"/>
      <c r="H1" s="289"/>
      <c r="I1" s="289"/>
    </row>
    <row r="2" ht="15.75" customHeight="1" spans="1:9">
      <c r="A2" s="22" t="s">
        <v>85</v>
      </c>
      <c r="B2" s="22"/>
      <c r="C2" s="22"/>
      <c r="D2" s="22"/>
      <c r="E2" s="22"/>
      <c r="F2" s="22"/>
      <c r="G2" s="22"/>
      <c r="H2" s="22"/>
      <c r="I2" s="22"/>
    </row>
    <row r="3" ht="21.75" customHeight="1" spans="1:9">
      <c r="B3" s="290" t="s">
        <v>86</v>
      </c>
      <c r="C3" s="291" t="s">
        <v>87</v>
      </c>
      <c r="D3" s="292" t="s">
        <v>88</v>
      </c>
      <c r="E3" s="293" t="s">
        <v>89</v>
      </c>
      <c r="F3" s="294" t="s">
        <v>90</v>
      </c>
      <c r="G3" s="295" t="s">
        <v>91</v>
      </c>
      <c r="H3" s="296" t="s">
        <v>92</v>
      </c>
      <c r="I3" s="297" t="s">
        <v>93</v>
      </c>
    </row>
    <row r="4" ht="18" customHeight="1" spans="1:9">
      <c r="B4" s="298" t="s">
        <v>94</v>
      </c>
      <c r="C4" s="298" t="s">
        <v>95</v>
      </c>
      <c r="D4" s="298" t="s">
        <v>96</v>
      </c>
      <c r="E4" s="298" t="s">
        <v>97</v>
      </c>
      <c r="F4" s="298" t="s">
        <v>98</v>
      </c>
      <c r="G4" s="298" t="s">
        <v>99</v>
      </c>
      <c r="H4" s="298" t="s">
        <v>100</v>
      </c>
      <c r="I4" s="298" t="s">
        <v>101</v>
      </c>
    </row>
    <row r="5" ht="18" customHeight="1" spans="1:9">
      <c r="B5" s="299" t="s">
        <v>102</v>
      </c>
      <c r="C5" s="299" t="s">
        <v>103</v>
      </c>
      <c r="D5" s="299" t="s">
        <v>104</v>
      </c>
      <c r="E5" s="299" t="s">
        <v>105</v>
      </c>
      <c r="F5" s="299" t="s">
        <v>106</v>
      </c>
      <c r="G5" s="299" t="s">
        <v>107</v>
      </c>
      <c r="H5" s="299" t="s">
        <v>108</v>
      </c>
      <c r="I5" s="299" t="s">
        <v>109</v>
      </c>
    </row>
    <row r="6" ht="18" customHeight="1" spans="1:9">
      <c r="B6" s="298" t="s">
        <v>110</v>
      </c>
      <c r="C6" s="298" t="s">
        <v>111</v>
      </c>
      <c r="D6" s="298" t="s">
        <v>112</v>
      </c>
      <c r="E6" s="298" t="s">
        <v>113</v>
      </c>
      <c r="F6" s="298" t="s">
        <v>97</v>
      </c>
      <c r="G6" s="298" t="s">
        <v>114</v>
      </c>
      <c r="H6" s="298" t="s">
        <v>115</v>
      </c>
      <c r="I6" s="298" t="s">
        <v>116</v>
      </c>
    </row>
    <row r="7" ht="18" customHeight="1" spans="1:9">
      <c r="B7" s="299" t="s">
        <v>117</v>
      </c>
      <c r="C7" s="299" t="s">
        <v>118</v>
      </c>
      <c r="D7" s="299" t="s">
        <v>119</v>
      </c>
      <c r="E7" s="299" t="s">
        <v>120</v>
      </c>
      <c r="F7" s="299" t="s">
        <v>121</v>
      </c>
      <c r="G7" s="299" t="s">
        <v>122</v>
      </c>
      <c r="H7" s="299" t="s">
        <v>123</v>
      </c>
      <c r="I7" s="299" t="s">
        <v>124</v>
      </c>
    </row>
    <row r="8" ht="18" customHeight="1" spans="1:9">
      <c r="B8" s="298" t="s">
        <v>125</v>
      </c>
      <c r="C8" s="298" t="s">
        <v>126</v>
      </c>
      <c r="D8" s="298" t="s">
        <v>127</v>
      </c>
      <c r="E8" s="298" t="s">
        <v>128</v>
      </c>
      <c r="F8" s="298" t="s">
        <v>129</v>
      </c>
      <c r="G8" s="298" t="s">
        <v>130</v>
      </c>
      <c r="H8" s="298" t="s">
        <v>131</v>
      </c>
      <c r="I8" s="298" t="s">
        <v>132</v>
      </c>
    </row>
    <row r="9" ht="18" customHeight="1" spans="1:9">
      <c r="B9" s="299" t="s">
        <v>133</v>
      </c>
      <c r="C9" s="299" t="s">
        <v>134</v>
      </c>
      <c r="D9" s="299" t="s">
        <v>135</v>
      </c>
      <c r="E9" s="299" t="s">
        <v>136</v>
      </c>
      <c r="F9" s="299" t="s">
        <v>113</v>
      </c>
      <c r="I9" s="299" t="s">
        <v>137</v>
      </c>
    </row>
    <row r="10" ht="18" customHeight="1" spans="1:9">
      <c r="B10" s="298" t="s">
        <v>138</v>
      </c>
      <c r="C10" s="298" t="s">
        <v>139</v>
      </c>
      <c r="D10" s="298" t="s">
        <v>138</v>
      </c>
      <c r="E10" s="298" t="s">
        <v>121</v>
      </c>
      <c r="F10" s="298" t="s">
        <v>136</v>
      </c>
    </row>
    <row r="11" ht="18" customHeight="1" spans="1:9">
      <c r="B11" s="299" t="s">
        <v>140</v>
      </c>
      <c r="C11" s="299" t="s">
        <v>141</v>
      </c>
      <c r="D11" s="299" t="s">
        <v>142</v>
      </c>
      <c r="E11" s="299" t="s">
        <v>143</v>
      </c>
      <c r="F11" s="299" t="s">
        <v>144</v>
      </c>
    </row>
    <row r="12" ht="18" customHeight="1" spans="1:9">
      <c r="B12" s="298" t="s">
        <v>145</v>
      </c>
      <c r="C12" s="298" t="s">
        <v>146</v>
      </c>
      <c r="D12" s="298" t="s">
        <v>146</v>
      </c>
      <c r="E12" s="298" t="s">
        <v>147</v>
      </c>
      <c r="F12" s="298" t="s">
        <v>148</v>
      </c>
    </row>
    <row r="13" ht="18" customHeight="1" spans="1:9">
      <c r="B13" s="299" t="s">
        <v>149</v>
      </c>
      <c r="E13" s="299" t="s">
        <v>150</v>
      </c>
      <c r="F13" s="299" t="s">
        <v>146</v>
      </c>
    </row>
    <row r="14" ht="18" customHeight="1" spans="1:9">
      <c r="B14" s="298" t="s">
        <v>135</v>
      </c>
    </row>
    <row r="15" ht="18" customHeight="1" spans="1:9">
      <c r="B15" s="299" t="s">
        <v>151</v>
      </c>
    </row>
    <row r="16" ht="18" customHeight="1" spans="1:9">
      <c r="B16" s="298" t="s">
        <v>152</v>
      </c>
    </row>
    <row r="17" ht="18" customHeight="1" spans="2:2">
      <c r="B17" s="299" t="s">
        <v>153</v>
      </c>
    </row>
    <row r="18" ht="18" customHeight="1" spans="2:2">
      <c r="B18" s="298" t="s">
        <v>146</v>
      </c>
    </row>
  </sheetData>
  <mergeCells count="2">
    <mergeCell ref="A1:I1"/>
    <mergeCell ref="A2:I2"/>
  </mergeCells>
  <pageMargins left="0.25" right="0.25" top="0.4" bottom="0.4" header="0.511811023622047" footer="0.511811023622047"/>
  <pageSetup paperSize="1" fitToHeight="0" orientation="landscape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563EB"/>
    <pageSetUpPr fitToPage="1"/>
  </sheetPr>
  <dimension ref="A1:L29"/>
  <sheetViews>
    <sheetView showGridLines="0" zoomScale="90" zoomScaleNormal="90" workbookViewId="0">
      <pane ySplit="2" topLeftCell="A3" activePane="bottomLeft" state="frozen"/>
      <selection/>
      <selection pane="bottomLeft" activeCell="D7" sqref="D7:F8"/>
    </sheetView>
  </sheetViews>
  <sheetFormatPr defaultColWidth="8.68181818181818" defaultRowHeight="14.5"/>
  <cols>
    <col min="1" max="1" width="3" customWidth="1"/>
    <col min="2" max="11" width="15" customWidth="1"/>
  </cols>
  <sheetData>
    <row r="1" ht="31.5" customHeight="1" spans="1:12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 spans="1:12">
      <c r="A2" s="22" t="s">
        <v>155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4" ht="21.75" customHeight="1" spans="1:12">
      <c r="A4" s="8" t="s">
        <v>156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ht="4.5" customHeight="1" spans="1:12">
      <c r="A5" s="258"/>
      <c r="B5" s="258"/>
      <c r="D5" s="259"/>
      <c r="E5" s="259"/>
      <c r="G5" s="260"/>
      <c r="H5" s="260"/>
      <c r="J5" s="261"/>
      <c r="K5" s="261"/>
    </row>
    <row r="6" ht="21.75" customHeight="1" spans="1:12">
      <c r="A6" s="262" t="s">
        <v>157</v>
      </c>
      <c r="B6" s="262"/>
      <c r="C6" s="262"/>
      <c r="D6" s="262" t="s">
        <v>158</v>
      </c>
      <c r="E6" s="262"/>
      <c r="F6" s="262"/>
      <c r="G6" s="262" t="s">
        <v>159</v>
      </c>
      <c r="H6" s="262"/>
      <c r="I6" s="262"/>
      <c r="J6" s="262" t="s">
        <v>160</v>
      </c>
      <c r="K6" s="262"/>
      <c r="L6" s="262"/>
    </row>
    <row r="7" ht="21.75" customHeight="1" spans="1:12">
      <c r="A7" s="263">
        <f>IFERROR(SUM(INCOME!E4:E18),0)</f>
        <v>31422.5</v>
      </c>
      <c r="B7" s="263"/>
      <c r="C7" s="263"/>
      <c r="D7" s="264">
        <f>IFERROR(SUM(EXPENSES!D4:D28),0)</f>
        <v>6187.98</v>
      </c>
      <c r="E7" s="264"/>
      <c r="F7" s="264"/>
      <c r="G7" s="265">
        <f>IFERROR(SUM(INCOME!E4:E18)-SUM(EXPENSES!D4:D28),0)</f>
        <v>25234.52</v>
      </c>
      <c r="H7" s="265"/>
      <c r="I7" s="265"/>
      <c r="J7" s="266">
        <f>IFERROR((SUM(INCOME!E4:E18)-SUM(EXPENSES!D4:D28))/SUM(INCOME!E4:E18),0)</f>
        <v>0.803071684302649</v>
      </c>
      <c r="K7" s="266"/>
      <c r="L7" s="266"/>
    </row>
    <row r="8" ht="21.75" customHeight="1" spans="1:12">
      <c r="A8" s="263"/>
      <c r="B8" s="263"/>
      <c r="C8" s="263"/>
      <c r="D8" s="264"/>
      <c r="E8" s="264"/>
      <c r="F8" s="264"/>
      <c r="G8" s="265"/>
      <c r="H8" s="265"/>
      <c r="I8" s="265"/>
      <c r="J8" s="266"/>
      <c r="K8" s="266"/>
      <c r="L8" s="266"/>
    </row>
    <row r="10" ht="21.75" customHeight="1" spans="1:12">
      <c r="A10" s="12" t="s">
        <v>161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ht="4.5" customHeight="1" spans="1:12">
      <c r="A11" s="261"/>
      <c r="B11" s="261"/>
      <c r="D11" s="258"/>
      <c r="E11" s="258"/>
      <c r="G11" s="267"/>
      <c r="H11" s="267"/>
      <c r="J11" s="268"/>
      <c r="K11" s="268"/>
    </row>
    <row r="12" ht="21.75" customHeight="1" spans="1:12">
      <c r="A12" s="262" t="s">
        <v>82</v>
      </c>
      <c r="B12" s="262"/>
      <c r="C12" s="262"/>
      <c r="D12" s="262" t="s">
        <v>162</v>
      </c>
      <c r="E12" s="262"/>
      <c r="F12" s="262"/>
      <c r="G12" s="262" t="s">
        <v>163</v>
      </c>
      <c r="H12" s="262"/>
      <c r="I12" s="262"/>
      <c r="J12" s="262" t="s">
        <v>164</v>
      </c>
      <c r="K12" s="262"/>
      <c r="L12" s="262"/>
    </row>
    <row r="13" ht="21.75" customHeight="1" spans="1:12">
      <c r="A13" s="269">
        <f>IFERROR(COUNTIF(GOALS!G5:G16,"In Progress"),0)</f>
        <v>11</v>
      </c>
      <c r="B13" s="269"/>
      <c r="C13" s="269"/>
      <c r="D13" s="270">
        <f>IFERROR(COUNTIF(GOALS!G5:G16,"Completed"),0)</f>
        <v>1</v>
      </c>
      <c r="E13" s="270"/>
      <c r="F13" s="270"/>
      <c r="G13" s="271">
        <f>IFERROR(COUNTIF(TASKS!F5:F24,"Completed"),0)</f>
        <v>4</v>
      </c>
      <c r="H13" s="271"/>
      <c r="I13" s="271"/>
      <c r="J13" s="272">
        <f>IFERROR(COUNTIF(HABITS!D4:AH18,"✓")/(15*31),0)</f>
        <v>0.69247311827957</v>
      </c>
      <c r="K13" s="272"/>
      <c r="L13" s="272"/>
    </row>
    <row r="14" ht="21.75" customHeight="1" spans="1:12">
      <c r="A14" s="269"/>
      <c r="B14" s="269"/>
      <c r="C14" s="269"/>
      <c r="D14" s="270"/>
      <c r="E14" s="270"/>
      <c r="F14" s="270"/>
      <c r="G14" s="271"/>
      <c r="H14" s="271"/>
      <c r="I14" s="271"/>
      <c r="J14" s="272"/>
      <c r="K14" s="272"/>
      <c r="L14" s="272"/>
    </row>
    <row r="16" ht="21.75" customHeight="1" spans="1:12">
      <c r="A16" s="273" t="s">
        <v>165</v>
      </c>
      <c r="B16" s="273"/>
      <c r="C16" s="273"/>
      <c r="D16" s="273"/>
      <c r="E16" s="273"/>
      <c r="F16" s="273"/>
      <c r="G16" s="273"/>
      <c r="H16" s="273"/>
      <c r="I16" s="273"/>
      <c r="J16" s="273"/>
      <c r="K16" s="273"/>
    </row>
    <row r="17" ht="4.5" customHeight="1" spans="1:12">
      <c r="A17" s="274"/>
      <c r="B17" s="274"/>
      <c r="D17" s="260"/>
      <c r="E17" s="260"/>
      <c r="G17" s="275"/>
      <c r="H17" s="275"/>
      <c r="J17" s="258"/>
      <c r="K17" s="258"/>
    </row>
    <row r="18" ht="21.75" customHeight="1" spans="1:12">
      <c r="A18" s="262" t="s">
        <v>166</v>
      </c>
      <c r="B18" s="262"/>
      <c r="C18" s="262"/>
      <c r="D18" s="262" t="s">
        <v>167</v>
      </c>
      <c r="E18" s="262"/>
      <c r="F18" s="262"/>
      <c r="G18" s="262" t="s">
        <v>168</v>
      </c>
      <c r="H18" s="262"/>
      <c r="I18" s="262"/>
      <c r="J18" s="262" t="s">
        <v>169</v>
      </c>
      <c r="K18" s="262"/>
      <c r="L18" s="262"/>
    </row>
    <row r="19" ht="21.75" customHeight="1" spans="1:12">
      <c r="A19" s="276">
        <f>IFERROR(AVERAGE(HEALTH!C5:C24),0)</f>
        <v>183.01</v>
      </c>
      <c r="B19" s="276"/>
      <c r="C19" s="276"/>
      <c r="D19" s="277">
        <f>IFERROR(AVERAGE(HEALTH!H5:H24),0)</f>
        <v>7.675</v>
      </c>
      <c r="E19" s="277"/>
      <c r="F19" s="277"/>
      <c r="G19" s="278">
        <f>IFERROR(AVERAGE(HEALTH!I5:I24),0)</f>
        <v>8.15</v>
      </c>
      <c r="H19" s="278"/>
      <c r="I19" s="278"/>
      <c r="J19" s="270">
        <f>IFERROR(COUNTIF(HEALTH!F5:F24,"&gt;0"),0)</f>
        <v>16</v>
      </c>
      <c r="K19" s="270"/>
      <c r="L19" s="270"/>
    </row>
    <row r="20" ht="21.75" customHeight="1" spans="1:12">
      <c r="A20" s="276"/>
      <c r="B20" s="276"/>
      <c r="C20" s="276"/>
      <c r="D20" s="277"/>
      <c r="E20" s="277"/>
      <c r="F20" s="277"/>
      <c r="G20" s="278"/>
      <c r="H20" s="278"/>
      <c r="I20" s="278"/>
      <c r="J20" s="270"/>
      <c r="K20" s="270"/>
      <c r="L20" s="270"/>
    </row>
    <row r="22" ht="21.75" customHeight="1" spans="1:12">
      <c r="A22" s="23" t="s">
        <v>170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</row>
    <row r="23" spans="1:12">
      <c r="A23" s="24" t="s">
        <v>171</v>
      </c>
      <c r="B23" s="24"/>
      <c r="C23" s="24" t="s">
        <v>172</v>
      </c>
      <c r="D23" s="24"/>
      <c r="E23" s="24" t="s">
        <v>173</v>
      </c>
      <c r="F23" s="24"/>
      <c r="G23" s="24" t="s">
        <v>152</v>
      </c>
      <c r="H23" s="24"/>
      <c r="I23" s="24" t="s">
        <v>174</v>
      </c>
      <c r="J23" s="24"/>
    </row>
    <row r="24" ht="18" customHeight="1" spans="1:12">
      <c r="A24" s="279" t="s">
        <v>175</v>
      </c>
      <c r="B24" s="279"/>
      <c r="C24" s="280">
        <v>5000</v>
      </c>
      <c r="D24" s="280"/>
      <c r="E24" s="281">
        <v>3450</v>
      </c>
      <c r="F24" s="281"/>
      <c r="G24" s="282">
        <f t="shared" ref="G24:G29" si="0">C24-E24</f>
        <v>1550</v>
      </c>
      <c r="H24" s="282"/>
      <c r="I24" s="283">
        <v>42000</v>
      </c>
      <c r="J24" s="283"/>
    </row>
    <row r="25" ht="18" customHeight="1" spans="1:12">
      <c r="A25" s="284" t="s">
        <v>176</v>
      </c>
      <c r="B25" s="284"/>
      <c r="C25" s="285">
        <v>5000</v>
      </c>
      <c r="D25" s="285"/>
      <c r="E25" s="286">
        <v>3200</v>
      </c>
      <c r="F25" s="286"/>
      <c r="G25" s="287">
        <f t="shared" si="0"/>
        <v>1800</v>
      </c>
      <c r="H25" s="287"/>
      <c r="I25" s="288">
        <v>42500</v>
      </c>
      <c r="J25" s="288"/>
    </row>
    <row r="26" ht="18" customHeight="1" spans="1:12">
      <c r="A26" s="279" t="s">
        <v>177</v>
      </c>
      <c r="B26" s="279"/>
      <c r="C26" s="280">
        <v>5350</v>
      </c>
      <c r="D26" s="280"/>
      <c r="E26" s="281">
        <v>3600</v>
      </c>
      <c r="F26" s="281"/>
      <c r="G26" s="282">
        <f t="shared" si="0"/>
        <v>1750</v>
      </c>
      <c r="H26" s="282"/>
      <c r="I26" s="283">
        <v>43200</v>
      </c>
      <c r="J26" s="283"/>
    </row>
    <row r="27" ht="18" customHeight="1" spans="1:12">
      <c r="A27" s="284" t="s">
        <v>178</v>
      </c>
      <c r="B27" s="284"/>
      <c r="C27" s="285">
        <v>5000</v>
      </c>
      <c r="D27" s="285"/>
      <c r="E27" s="286">
        <v>3100</v>
      </c>
      <c r="F27" s="286"/>
      <c r="G27" s="287">
        <f t="shared" si="0"/>
        <v>1900</v>
      </c>
      <c r="H27" s="287"/>
      <c r="I27" s="288">
        <v>44100</v>
      </c>
      <c r="J27" s="288"/>
    </row>
    <row r="28" ht="18" customHeight="1" spans="1:12">
      <c r="A28" s="279" t="s">
        <v>179</v>
      </c>
      <c r="B28" s="279"/>
      <c r="C28" s="280">
        <v>5500</v>
      </c>
      <c r="D28" s="280"/>
      <c r="E28" s="281">
        <v>3400</v>
      </c>
      <c r="F28" s="281"/>
      <c r="G28" s="282">
        <f t="shared" si="0"/>
        <v>2100</v>
      </c>
      <c r="H28" s="282"/>
      <c r="I28" s="283">
        <v>45000</v>
      </c>
      <c r="J28" s="283"/>
    </row>
    <row r="29" ht="18" customHeight="1" spans="1:12">
      <c r="A29" s="284" t="s">
        <v>180</v>
      </c>
      <c r="B29" s="284"/>
      <c r="C29" s="285">
        <v>5000</v>
      </c>
      <c r="D29" s="285"/>
      <c r="E29" s="286">
        <v>3250</v>
      </c>
      <c r="F29" s="286"/>
      <c r="G29" s="287">
        <f t="shared" si="0"/>
        <v>1750</v>
      </c>
      <c r="H29" s="287"/>
      <c r="I29" s="288">
        <v>46200</v>
      </c>
      <c r="J29" s="288"/>
    </row>
  </sheetData>
  <mergeCells count="65">
    <mergeCell ref="A1:K1"/>
    <mergeCell ref="A2:K2"/>
    <mergeCell ref="A4:K4"/>
    <mergeCell ref="A6:C6"/>
    <mergeCell ref="D6:F6"/>
    <mergeCell ref="G6:I6"/>
    <mergeCell ref="J6:L6"/>
    <mergeCell ref="A10:K10"/>
    <mergeCell ref="A12:C12"/>
    <mergeCell ref="D12:F12"/>
    <mergeCell ref="G12:I12"/>
    <mergeCell ref="J12:L12"/>
    <mergeCell ref="A16:K16"/>
    <mergeCell ref="A18:C18"/>
    <mergeCell ref="D18:F18"/>
    <mergeCell ref="G18:I18"/>
    <mergeCell ref="J18:L18"/>
    <mergeCell ref="A22:K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7:C8"/>
    <mergeCell ref="D7:F8"/>
    <mergeCell ref="G7:I8"/>
    <mergeCell ref="J7:L8"/>
    <mergeCell ref="A13:C14"/>
    <mergeCell ref="D13:F14"/>
    <mergeCell ref="G13:I14"/>
    <mergeCell ref="J13:L14"/>
    <mergeCell ref="A19:C20"/>
    <mergeCell ref="D19:F20"/>
    <mergeCell ref="G19:I20"/>
    <mergeCell ref="J19:L20"/>
  </mergeCells>
  <pageMargins left="0.25" right="0.25" top="0.4" bottom="0.4" header="0.511811023622047" footer="0.511811023622047"/>
  <pageSetup paperSize="1" fitToHeight="0" orientation="landscape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6A34A"/>
    <pageSetUpPr fitToPage="1"/>
  </sheetPr>
  <dimension ref="A1:H31"/>
  <sheetViews>
    <sheetView showGridLines="0" zoomScale="90" zoomScaleNormal="90" workbookViewId="0">
      <pane ySplit="3" topLeftCell="A4" activePane="bottomLeft" state="frozen"/>
      <selection/>
      <selection pane="bottomLeft" activeCell="D12" sqref="D12"/>
    </sheetView>
  </sheetViews>
  <sheetFormatPr defaultColWidth="8.68181818181818" defaultRowHeight="14.5" outlineLevelCol="7"/>
  <cols>
    <col min="1" max="1" width="4" customWidth="1"/>
    <col min="2" max="2" width="12" customWidth="1"/>
    <col min="3" max="3" width="30" customWidth="1"/>
    <col min="4" max="4" width="18" customWidth="1"/>
    <col min="5" max="5" width="14" customWidth="1"/>
    <col min="6" max="7" width="18" customWidth="1"/>
    <col min="8" max="8" width="16" customWidth="1"/>
  </cols>
  <sheetData>
    <row r="1" ht="31.5" customHeight="1" spans="1:8">
      <c r="A1" s="251" t="s">
        <v>181</v>
      </c>
      <c r="B1" s="251"/>
      <c r="C1" s="251"/>
      <c r="D1" s="251"/>
      <c r="E1" s="251"/>
      <c r="F1" s="251"/>
      <c r="G1" s="251"/>
      <c r="H1" s="251"/>
    </row>
    <row r="2" ht="15.75" customHeight="1" spans="1:8">
      <c r="A2" s="22" t="s">
        <v>182</v>
      </c>
      <c r="B2" s="22"/>
      <c r="C2" s="22"/>
      <c r="D2" s="22"/>
      <c r="E2" s="22"/>
      <c r="F2" s="22"/>
      <c r="G2" s="22"/>
      <c r="H2" s="22"/>
    </row>
    <row r="3" ht="21.75" customHeight="1" spans="1:8">
      <c r="A3" s="50" t="s">
        <v>183</v>
      </c>
      <c r="B3" s="50" t="s">
        <v>184</v>
      </c>
      <c r="C3" s="50" t="s">
        <v>185</v>
      </c>
      <c r="D3" s="27" t="s">
        <v>186</v>
      </c>
      <c r="E3" s="50" t="s">
        <v>187</v>
      </c>
      <c r="F3" s="59" t="s">
        <v>188</v>
      </c>
      <c r="G3" s="26" t="s">
        <v>189</v>
      </c>
      <c r="H3" s="60" t="s">
        <v>190</v>
      </c>
    </row>
    <row r="4" ht="18" customHeight="1" spans="1:8">
      <c r="A4" s="120">
        <v>1</v>
      </c>
      <c r="B4" s="121" t="s">
        <v>191</v>
      </c>
      <c r="C4" s="37" t="s">
        <v>192</v>
      </c>
      <c r="D4" s="37" t="s">
        <v>95</v>
      </c>
      <c r="E4" s="252">
        <v>4500</v>
      </c>
      <c r="F4" s="37" t="s">
        <v>193</v>
      </c>
      <c r="G4" s="37" t="s">
        <v>194</v>
      </c>
      <c r="H4" s="37" t="s">
        <v>195</v>
      </c>
    </row>
    <row r="5" ht="18" customHeight="1" spans="1:8">
      <c r="A5" s="123">
        <v>2</v>
      </c>
      <c r="B5" s="124" t="s">
        <v>196</v>
      </c>
      <c r="C5" s="32" t="s">
        <v>197</v>
      </c>
      <c r="D5" s="32" t="s">
        <v>103</v>
      </c>
      <c r="E5" s="253">
        <v>350</v>
      </c>
      <c r="F5" s="32" t="s">
        <v>193</v>
      </c>
      <c r="G5" s="32" t="s">
        <v>198</v>
      </c>
      <c r="H5" s="32" t="s">
        <v>199</v>
      </c>
    </row>
    <row r="6" ht="18" customHeight="1" spans="1:8">
      <c r="A6" s="120">
        <v>3</v>
      </c>
      <c r="B6" s="121" t="s">
        <v>200</v>
      </c>
      <c r="C6" s="37" t="s">
        <v>201</v>
      </c>
      <c r="D6" s="37" t="s">
        <v>118</v>
      </c>
      <c r="E6" s="252">
        <v>82.5</v>
      </c>
      <c r="F6" s="37" t="s">
        <v>202</v>
      </c>
      <c r="G6" s="37" t="s">
        <v>194</v>
      </c>
      <c r="H6" s="37" t="s">
        <v>203</v>
      </c>
    </row>
    <row r="7" ht="18" customHeight="1" spans="1:8">
      <c r="A7" s="123">
        <v>4</v>
      </c>
      <c r="B7" s="124" t="s">
        <v>204</v>
      </c>
      <c r="C7" s="32" t="s">
        <v>205</v>
      </c>
      <c r="D7" s="32" t="s">
        <v>134</v>
      </c>
      <c r="E7" s="253">
        <v>200</v>
      </c>
      <c r="F7" s="32" t="s">
        <v>193</v>
      </c>
      <c r="G7" s="32" t="s">
        <v>198</v>
      </c>
      <c r="H7" s="32"/>
    </row>
    <row r="8" ht="18" customHeight="1" spans="1:8">
      <c r="A8" s="120">
        <v>5</v>
      </c>
      <c r="B8" s="121" t="s">
        <v>206</v>
      </c>
      <c r="C8" s="37" t="s">
        <v>207</v>
      </c>
      <c r="D8" s="37" t="s">
        <v>95</v>
      </c>
      <c r="E8" s="252">
        <v>4500</v>
      </c>
      <c r="F8" s="37" t="s">
        <v>193</v>
      </c>
      <c r="G8" s="37" t="s">
        <v>194</v>
      </c>
      <c r="H8" s="37"/>
    </row>
    <row r="9" ht="18" customHeight="1" spans="1:8">
      <c r="A9" s="123">
        <v>6</v>
      </c>
      <c r="B9" s="124" t="s">
        <v>208</v>
      </c>
      <c r="C9" s="32" t="s">
        <v>209</v>
      </c>
      <c r="D9" s="32" t="s">
        <v>103</v>
      </c>
      <c r="E9" s="253">
        <v>150</v>
      </c>
      <c r="F9" s="32" t="s">
        <v>193</v>
      </c>
      <c r="G9" s="32" t="s">
        <v>198</v>
      </c>
      <c r="H9" s="32" t="s">
        <v>210</v>
      </c>
    </row>
    <row r="10" ht="18" customHeight="1" spans="1:8">
      <c r="A10" s="120">
        <v>7</v>
      </c>
      <c r="B10" s="121" t="s">
        <v>211</v>
      </c>
      <c r="C10" s="37" t="s">
        <v>212</v>
      </c>
      <c r="D10" s="37" t="s">
        <v>118</v>
      </c>
      <c r="E10" s="252">
        <v>420</v>
      </c>
      <c r="F10" s="37" t="s">
        <v>202</v>
      </c>
      <c r="G10" s="37" t="s">
        <v>194</v>
      </c>
      <c r="H10" s="37" t="s">
        <v>213</v>
      </c>
    </row>
    <row r="11" ht="18" customHeight="1" spans="1:8">
      <c r="A11" s="123">
        <v>8</v>
      </c>
      <c r="B11" s="124" t="s">
        <v>214</v>
      </c>
      <c r="C11" s="32" t="s">
        <v>215</v>
      </c>
      <c r="D11" s="32" t="s">
        <v>95</v>
      </c>
      <c r="E11" s="253">
        <v>4500</v>
      </c>
      <c r="F11" s="32" t="s">
        <v>193</v>
      </c>
      <c r="G11" s="32" t="s">
        <v>194</v>
      </c>
      <c r="H11" s="32"/>
    </row>
    <row r="12" ht="18" customHeight="1" spans="1:8">
      <c r="A12" s="120">
        <v>9</v>
      </c>
      <c r="B12" s="121" t="s">
        <v>216</v>
      </c>
      <c r="C12" s="37" t="s">
        <v>217</v>
      </c>
      <c r="D12" s="37" t="s">
        <v>139</v>
      </c>
      <c r="E12" s="252">
        <v>800</v>
      </c>
      <c r="F12" s="37" t="s">
        <v>193</v>
      </c>
      <c r="G12" s="37" t="s">
        <v>194</v>
      </c>
      <c r="H12" s="37" t="s">
        <v>218</v>
      </c>
    </row>
    <row r="13" ht="18" customHeight="1" spans="1:8">
      <c r="A13" s="123">
        <v>10</v>
      </c>
      <c r="B13" s="124" t="s">
        <v>219</v>
      </c>
      <c r="C13" s="32" t="s">
        <v>220</v>
      </c>
      <c r="D13" s="32" t="s">
        <v>103</v>
      </c>
      <c r="E13" s="253">
        <v>500</v>
      </c>
      <c r="F13" s="32" t="s">
        <v>193</v>
      </c>
      <c r="G13" s="32" t="s">
        <v>198</v>
      </c>
      <c r="H13" s="32" t="s">
        <v>221</v>
      </c>
    </row>
    <row r="14" ht="18" customHeight="1" spans="1:8">
      <c r="A14" s="120">
        <v>11</v>
      </c>
      <c r="B14" s="121" t="s">
        <v>222</v>
      </c>
      <c r="C14" s="37" t="s">
        <v>223</v>
      </c>
      <c r="D14" s="37" t="s">
        <v>95</v>
      </c>
      <c r="E14" s="252">
        <v>4500</v>
      </c>
      <c r="F14" s="37" t="s">
        <v>193</v>
      </c>
      <c r="G14" s="37" t="s">
        <v>194</v>
      </c>
      <c r="H14" s="37"/>
    </row>
    <row r="15" ht="18" customHeight="1" spans="1:8">
      <c r="A15" s="123">
        <v>12</v>
      </c>
      <c r="B15" s="124" t="s">
        <v>224</v>
      </c>
      <c r="C15" s="32" t="s">
        <v>225</v>
      </c>
      <c r="D15" s="32" t="s">
        <v>126</v>
      </c>
      <c r="E15" s="253">
        <v>600</v>
      </c>
      <c r="F15" s="32" t="s">
        <v>193</v>
      </c>
      <c r="G15" s="32" t="s">
        <v>194</v>
      </c>
      <c r="H15" s="32" t="s">
        <v>226</v>
      </c>
    </row>
    <row r="16" ht="18" customHeight="1" spans="1:8">
      <c r="A16" s="120">
        <v>13</v>
      </c>
      <c r="B16" s="121" t="s">
        <v>227</v>
      </c>
      <c r="C16" s="37" t="s">
        <v>228</v>
      </c>
      <c r="D16" s="37" t="s">
        <v>95</v>
      </c>
      <c r="E16" s="252">
        <v>5000</v>
      </c>
      <c r="F16" s="37" t="s">
        <v>193</v>
      </c>
      <c r="G16" s="37" t="s">
        <v>194</v>
      </c>
      <c r="H16" s="37" t="s">
        <v>229</v>
      </c>
    </row>
    <row r="17" ht="18" customHeight="1" spans="1:8">
      <c r="A17" s="123">
        <v>14</v>
      </c>
      <c r="B17" s="124" t="s">
        <v>230</v>
      </c>
      <c r="C17" s="32" t="s">
        <v>231</v>
      </c>
      <c r="D17" s="32" t="s">
        <v>134</v>
      </c>
      <c r="E17" s="253">
        <v>320</v>
      </c>
      <c r="F17" s="32" t="s">
        <v>232</v>
      </c>
      <c r="G17" s="32" t="s">
        <v>198</v>
      </c>
      <c r="H17" s="32" t="s">
        <v>233</v>
      </c>
    </row>
    <row r="18" ht="18" customHeight="1" spans="1:8">
      <c r="A18" s="120">
        <v>15</v>
      </c>
      <c r="B18" s="121" t="s">
        <v>234</v>
      </c>
      <c r="C18" s="37" t="s">
        <v>235</v>
      </c>
      <c r="D18" s="37" t="s">
        <v>95</v>
      </c>
      <c r="E18" s="252">
        <v>5000</v>
      </c>
      <c r="F18" s="37" t="s">
        <v>193</v>
      </c>
      <c r="G18" s="37" t="s">
        <v>194</v>
      </c>
      <c r="H18" s="37"/>
    </row>
    <row r="19" ht="24" customHeight="1" spans="1:8">
      <c r="A19" s="72" t="s">
        <v>236</v>
      </c>
      <c r="B19" s="72"/>
      <c r="C19" s="72"/>
      <c r="D19" s="72"/>
      <c r="E19" s="254">
        <f>SUM(E4:E18)</f>
        <v>31422.5</v>
      </c>
    </row>
    <row r="22" spans="1:8">
      <c r="A22" s="255" t="s">
        <v>186</v>
      </c>
      <c r="B22" s="255"/>
      <c r="C22" s="27" t="s">
        <v>237</v>
      </c>
      <c r="D22" s="27" t="s">
        <v>238</v>
      </c>
      <c r="E22" s="27" t="s">
        <v>239</v>
      </c>
    </row>
    <row r="23" ht="18" customHeight="1" spans="1:8">
      <c r="A23" s="81" t="s">
        <v>95</v>
      </c>
      <c r="B23" s="81"/>
      <c r="C23" s="256">
        <f>SUMIF(D4:D18,A23,E4:E18)</f>
        <v>28000</v>
      </c>
      <c r="D23" s="129">
        <f>IFERROR(C23/E19,0)</f>
        <v>0.891081231601559</v>
      </c>
      <c r="E23" s="123">
        <f>COUNTIF(D4:D18,A23)</f>
        <v>6</v>
      </c>
    </row>
    <row r="24" ht="18" customHeight="1" spans="1:8">
      <c r="A24" s="84" t="s">
        <v>103</v>
      </c>
      <c r="B24" s="84"/>
      <c r="C24" s="257">
        <f>SUMIF(D4:D18,A24,E4:E18)</f>
        <v>1000</v>
      </c>
      <c r="D24" s="131">
        <f>IFERROR(C24/E19,0)</f>
        <v>0.0318243297000557</v>
      </c>
      <c r="E24" s="120">
        <f>COUNTIF(D4:D18,A24)</f>
        <v>3</v>
      </c>
    </row>
    <row r="25" ht="18" customHeight="1" spans="1:8">
      <c r="A25" s="81" t="s">
        <v>111</v>
      </c>
      <c r="B25" s="81"/>
      <c r="C25" s="256">
        <f>SUMIF(D4:D18,A25,E4:E18)</f>
        <v>0</v>
      </c>
      <c r="D25" s="129">
        <f>IFERROR(C25/E19,0)</f>
        <v>0</v>
      </c>
      <c r="E25" s="123">
        <f>COUNTIF(D4:D18,A25)</f>
        <v>0</v>
      </c>
    </row>
    <row r="26" ht="18" customHeight="1" spans="1:8">
      <c r="A26" s="84" t="s">
        <v>118</v>
      </c>
      <c r="B26" s="84"/>
      <c r="C26" s="257">
        <f>SUMIF(D4:D18,A26,E4:E18)</f>
        <v>502.5</v>
      </c>
      <c r="D26" s="131">
        <f>IFERROR(C26/E19,0)</f>
        <v>0.015991725674278</v>
      </c>
      <c r="E26" s="120">
        <f>COUNTIF(D4:D18,A26)</f>
        <v>2</v>
      </c>
    </row>
    <row r="27" ht="18" customHeight="1" spans="1:8">
      <c r="A27" s="81" t="s">
        <v>126</v>
      </c>
      <c r="B27" s="81"/>
      <c r="C27" s="256">
        <f>SUMIF(D4:D18,A27,E4:E18)</f>
        <v>600</v>
      </c>
      <c r="D27" s="129">
        <f>IFERROR(C27/E19,0)</f>
        <v>0.0190945978200334</v>
      </c>
      <c r="E27" s="123">
        <f>COUNTIF(D4:D18,A27)</f>
        <v>1</v>
      </c>
    </row>
    <row r="28" ht="18" customHeight="1" spans="1:8">
      <c r="A28" s="84" t="s">
        <v>134</v>
      </c>
      <c r="B28" s="84"/>
      <c r="C28" s="257">
        <f>SUMIF(D4:D18,A28,E4:E18)</f>
        <v>520</v>
      </c>
      <c r="D28" s="131">
        <f>IFERROR(C28/E19,0)</f>
        <v>0.016548651444029</v>
      </c>
      <c r="E28" s="120">
        <f>COUNTIF(D4:D18,A28)</f>
        <v>2</v>
      </c>
    </row>
    <row r="29" ht="18" customHeight="1" spans="1:8">
      <c r="A29" s="81" t="s">
        <v>139</v>
      </c>
      <c r="B29" s="81"/>
      <c r="C29" s="256">
        <f>SUMIF(D4:D18,A29,E4:E18)</f>
        <v>800</v>
      </c>
      <c r="D29" s="129">
        <f>IFERROR(C29/E19,0)</f>
        <v>0.0254594637600446</v>
      </c>
      <c r="E29" s="123">
        <f>COUNTIF(D4:D18,A29)</f>
        <v>1</v>
      </c>
    </row>
    <row r="30" ht="18" customHeight="1" spans="1:8">
      <c r="A30" s="84" t="s">
        <v>141</v>
      </c>
      <c r="B30" s="84"/>
      <c r="C30" s="257">
        <f>SUMIF(D4:D18,A30,E4:E18)</f>
        <v>0</v>
      </c>
      <c r="D30" s="131">
        <f>IFERROR(C30/E19,0)</f>
        <v>0</v>
      </c>
      <c r="E30" s="120">
        <f>COUNTIF(D4:D18,A30)</f>
        <v>0</v>
      </c>
    </row>
    <row r="31" ht="18" customHeight="1" spans="1:8">
      <c r="A31" s="81" t="s">
        <v>146</v>
      </c>
      <c r="B31" s="81"/>
      <c r="C31" s="256">
        <f>SUMIF(D4:D18,A31,E4:E18)</f>
        <v>0</v>
      </c>
      <c r="D31" s="129">
        <f>IFERROR(C31/E19,0)</f>
        <v>0</v>
      </c>
      <c r="E31" s="123">
        <f>COUNTIF(D4:D18,A31)</f>
        <v>0</v>
      </c>
    </row>
  </sheetData>
  <mergeCells count="13">
    <mergeCell ref="A1:H1"/>
    <mergeCell ref="A2:H2"/>
    <mergeCell ref="A19:D19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</mergeCells>
  <dataValidations count="1">
    <dataValidation type="list" showInputMessage="1" showErrorMessage="1" sqref="D4:D500">
      <formula1>SETUP!$C$4:$C$12</formula1>
    </dataValidation>
  </dataValidations>
  <pageMargins left="0.25" right="0.25" top="0.4" bottom="0.4" header="0.511811023622047" footer="0.511811023622047"/>
  <pageSetup paperSize="1" fitToHeight="0" orientation="landscape" horizontalDpi="300" verticalDpi="3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C2626"/>
    <pageSetUpPr fitToPage="1"/>
  </sheetPr>
  <dimension ref="A1:H44"/>
  <sheetViews>
    <sheetView showGridLines="0" zoomScale="90" zoomScaleNormal="90" workbookViewId="0">
      <pane ySplit="3" topLeftCell="A4" activePane="bottomLeft" state="frozen"/>
      <selection/>
      <selection pane="bottomLeft" activeCell="A1" sqref="A1:H1"/>
    </sheetView>
  </sheetViews>
  <sheetFormatPr defaultColWidth="8.68181818181818" defaultRowHeight="14.5" outlineLevelCol="7"/>
  <cols>
    <col min="1" max="1" width="4" customWidth="1"/>
    <col min="2" max="2" width="12" customWidth="1"/>
    <col min="3" max="3" width="30" customWidth="1"/>
    <col min="4" max="5" width="14" customWidth="1"/>
    <col min="6" max="7" width="18" customWidth="1"/>
    <col min="8" max="8" width="14" customWidth="1"/>
  </cols>
  <sheetData>
    <row r="1" ht="31.5" customHeight="1" spans="1:8">
      <c r="A1" s="87" t="s">
        <v>240</v>
      </c>
      <c r="B1" s="87"/>
      <c r="C1" s="87"/>
      <c r="D1" s="87"/>
      <c r="E1" s="87"/>
      <c r="F1" s="87"/>
      <c r="G1" s="87"/>
      <c r="H1" s="87"/>
    </row>
    <row r="2" ht="15.75" customHeight="1" spans="1:8">
      <c r="A2" s="22" t="s">
        <v>241</v>
      </c>
      <c r="B2" s="22"/>
      <c r="C2" s="22"/>
      <c r="D2" s="22"/>
      <c r="E2" s="22"/>
      <c r="F2" s="22"/>
      <c r="G2" s="22"/>
      <c r="H2" s="22"/>
    </row>
    <row r="3" ht="21.75" customHeight="1" spans="1:8">
      <c r="A3" s="28" t="s">
        <v>183</v>
      </c>
      <c r="B3" s="28" t="s">
        <v>184</v>
      </c>
      <c r="C3" s="28" t="s">
        <v>185</v>
      </c>
      <c r="D3" s="28" t="s">
        <v>187</v>
      </c>
      <c r="E3" s="49" t="s">
        <v>186</v>
      </c>
      <c r="F3" s="59" t="s">
        <v>242</v>
      </c>
      <c r="G3" s="59" t="s">
        <v>188</v>
      </c>
      <c r="H3" s="60" t="s">
        <v>190</v>
      </c>
    </row>
    <row r="4" ht="18" customHeight="1" spans="1:8">
      <c r="A4" s="120">
        <v>1</v>
      </c>
      <c r="B4" s="121" t="s">
        <v>243</v>
      </c>
      <c r="C4" s="37" t="s">
        <v>244</v>
      </c>
      <c r="D4" s="243">
        <v>1500</v>
      </c>
      <c r="E4" s="37" t="s">
        <v>94</v>
      </c>
      <c r="F4" s="37" t="s">
        <v>245</v>
      </c>
      <c r="G4" s="37" t="s">
        <v>193</v>
      </c>
      <c r="H4" s="37" t="s">
        <v>246</v>
      </c>
    </row>
    <row r="5" ht="18" customHeight="1" spans="1:8">
      <c r="A5" s="123">
        <v>2</v>
      </c>
      <c r="B5" s="124" t="s">
        <v>247</v>
      </c>
      <c r="C5" s="32" t="s">
        <v>248</v>
      </c>
      <c r="D5" s="244">
        <v>124</v>
      </c>
      <c r="E5" s="32" t="s">
        <v>102</v>
      </c>
      <c r="F5" s="32" t="s">
        <v>249</v>
      </c>
      <c r="G5" s="32" t="s">
        <v>193</v>
      </c>
      <c r="H5" s="32" t="s">
        <v>250</v>
      </c>
    </row>
    <row r="6" ht="18" customHeight="1" spans="1:8">
      <c r="A6" s="120">
        <v>3</v>
      </c>
      <c r="B6" s="121" t="s">
        <v>251</v>
      </c>
      <c r="C6" s="37" t="s">
        <v>252</v>
      </c>
      <c r="D6" s="243">
        <v>15.99</v>
      </c>
      <c r="E6" s="37" t="s">
        <v>151</v>
      </c>
      <c r="F6" s="37" t="s">
        <v>253</v>
      </c>
      <c r="G6" s="37" t="s">
        <v>254</v>
      </c>
      <c r="H6" s="37"/>
    </row>
    <row r="7" ht="18" customHeight="1" spans="1:8">
      <c r="A7" s="123">
        <v>4</v>
      </c>
      <c r="B7" s="124" t="s">
        <v>255</v>
      </c>
      <c r="C7" s="32" t="s">
        <v>256</v>
      </c>
      <c r="D7" s="244">
        <v>55</v>
      </c>
      <c r="E7" s="32" t="s">
        <v>110</v>
      </c>
      <c r="F7" s="32" t="s">
        <v>253</v>
      </c>
      <c r="G7" s="32" t="s">
        <v>254</v>
      </c>
      <c r="H7" s="32" t="s">
        <v>257</v>
      </c>
    </row>
    <row r="8" ht="18" customHeight="1" spans="1:8">
      <c r="A8" s="120">
        <v>5</v>
      </c>
      <c r="B8" s="121" t="s">
        <v>258</v>
      </c>
      <c r="C8" s="37" t="s">
        <v>259</v>
      </c>
      <c r="D8" s="243">
        <v>40</v>
      </c>
      <c r="E8" s="37" t="s">
        <v>117</v>
      </c>
      <c r="F8" s="37" t="s">
        <v>245</v>
      </c>
      <c r="G8" s="37" t="s">
        <v>193</v>
      </c>
      <c r="H8" s="37" t="s">
        <v>124</v>
      </c>
    </row>
    <row r="9" ht="18" customHeight="1" spans="1:8">
      <c r="A9" s="123">
        <v>6</v>
      </c>
      <c r="B9" s="124" t="s">
        <v>196</v>
      </c>
      <c r="C9" s="32" t="s">
        <v>260</v>
      </c>
      <c r="D9" s="244">
        <v>78</v>
      </c>
      <c r="E9" s="32" t="s">
        <v>102</v>
      </c>
      <c r="F9" s="32" t="s">
        <v>253</v>
      </c>
      <c r="G9" s="32" t="s">
        <v>254</v>
      </c>
      <c r="H9" s="32" t="s">
        <v>261</v>
      </c>
    </row>
    <row r="10" ht="18" customHeight="1" spans="1:8">
      <c r="A10" s="120">
        <v>7</v>
      </c>
      <c r="B10" s="121" t="s">
        <v>200</v>
      </c>
      <c r="C10" s="37" t="s">
        <v>262</v>
      </c>
      <c r="D10" s="243">
        <v>95</v>
      </c>
      <c r="E10" s="37" t="s">
        <v>140</v>
      </c>
      <c r="F10" s="37" t="s">
        <v>245</v>
      </c>
      <c r="G10" s="37" t="s">
        <v>193</v>
      </c>
      <c r="H10" s="37"/>
    </row>
    <row r="11" ht="18" customHeight="1" spans="1:8">
      <c r="A11" s="123">
        <v>8</v>
      </c>
      <c r="B11" s="124" t="s">
        <v>263</v>
      </c>
      <c r="C11" s="32" t="s">
        <v>264</v>
      </c>
      <c r="D11" s="244">
        <v>45</v>
      </c>
      <c r="E11" s="32" t="s">
        <v>133</v>
      </c>
      <c r="F11" s="32" t="s">
        <v>253</v>
      </c>
      <c r="G11" s="32" t="s">
        <v>254</v>
      </c>
      <c r="H11" s="32" t="s">
        <v>265</v>
      </c>
    </row>
    <row r="12" ht="18" customHeight="1" spans="1:8">
      <c r="A12" s="120">
        <v>9</v>
      </c>
      <c r="B12" s="121" t="s">
        <v>266</v>
      </c>
      <c r="C12" s="37" t="s">
        <v>267</v>
      </c>
      <c r="D12" s="243">
        <v>120</v>
      </c>
      <c r="E12" s="37" t="s">
        <v>145</v>
      </c>
      <c r="F12" s="37" t="s">
        <v>245</v>
      </c>
      <c r="G12" s="37" t="s">
        <v>193</v>
      </c>
      <c r="H12" s="37" t="s">
        <v>124</v>
      </c>
    </row>
    <row r="13" ht="18" customHeight="1" spans="1:8">
      <c r="A13" s="123">
        <v>10</v>
      </c>
      <c r="B13" s="124" t="s">
        <v>268</v>
      </c>
      <c r="C13" s="32" t="s">
        <v>269</v>
      </c>
      <c r="D13" s="244">
        <v>32</v>
      </c>
      <c r="E13" s="32" t="s">
        <v>110</v>
      </c>
      <c r="F13" s="32" t="s">
        <v>253</v>
      </c>
      <c r="G13" s="32" t="s">
        <v>254</v>
      </c>
      <c r="H13" s="32" t="s">
        <v>270</v>
      </c>
    </row>
    <row r="14" ht="18" customHeight="1" spans="1:8">
      <c r="A14" s="120">
        <v>11</v>
      </c>
      <c r="B14" s="121" t="s">
        <v>271</v>
      </c>
      <c r="C14" s="37" t="s">
        <v>272</v>
      </c>
      <c r="D14" s="243">
        <v>9.99</v>
      </c>
      <c r="E14" s="37" t="s">
        <v>151</v>
      </c>
      <c r="F14" s="37" t="s">
        <v>253</v>
      </c>
      <c r="G14" s="37" t="s">
        <v>254</v>
      </c>
      <c r="H14" s="37"/>
    </row>
    <row r="15" ht="18" customHeight="1" spans="1:8">
      <c r="A15" s="123">
        <v>12</v>
      </c>
      <c r="B15" s="124" t="s">
        <v>273</v>
      </c>
      <c r="C15" s="32" t="s">
        <v>274</v>
      </c>
      <c r="D15" s="244">
        <v>110</v>
      </c>
      <c r="E15" s="32" t="s">
        <v>102</v>
      </c>
      <c r="F15" s="32" t="s">
        <v>249</v>
      </c>
      <c r="G15" s="32" t="s">
        <v>193</v>
      </c>
      <c r="H15" s="32"/>
    </row>
    <row r="16" ht="18" customHeight="1" spans="1:8">
      <c r="A16" s="120">
        <v>13</v>
      </c>
      <c r="B16" s="121" t="s">
        <v>275</v>
      </c>
      <c r="C16" s="37" t="s">
        <v>276</v>
      </c>
      <c r="D16" s="243">
        <v>65</v>
      </c>
      <c r="E16" s="37" t="s">
        <v>140</v>
      </c>
      <c r="F16" s="37" t="s">
        <v>245</v>
      </c>
      <c r="G16" s="37" t="s">
        <v>193</v>
      </c>
      <c r="H16" s="37"/>
    </row>
    <row r="17" ht="18" customHeight="1" spans="1:8">
      <c r="A17" s="123">
        <v>14</v>
      </c>
      <c r="B17" s="124" t="s">
        <v>277</v>
      </c>
      <c r="C17" s="32" t="s">
        <v>278</v>
      </c>
      <c r="D17" s="244">
        <v>89</v>
      </c>
      <c r="E17" s="32" t="s">
        <v>133</v>
      </c>
      <c r="F17" s="32" t="s">
        <v>253</v>
      </c>
      <c r="G17" s="32" t="s">
        <v>254</v>
      </c>
      <c r="H17" s="32" t="s">
        <v>279</v>
      </c>
    </row>
    <row r="18" ht="18" customHeight="1" spans="1:8">
      <c r="A18" s="120">
        <v>15</v>
      </c>
      <c r="B18" s="121" t="s">
        <v>280</v>
      </c>
      <c r="C18" s="37" t="s">
        <v>281</v>
      </c>
      <c r="D18" s="243">
        <v>80</v>
      </c>
      <c r="E18" s="37" t="s">
        <v>140</v>
      </c>
      <c r="F18" s="37" t="s">
        <v>245</v>
      </c>
      <c r="G18" s="37" t="s">
        <v>193</v>
      </c>
      <c r="H18" s="37"/>
    </row>
    <row r="19" ht="18" customHeight="1" spans="1:8">
      <c r="A19" s="123">
        <v>16</v>
      </c>
      <c r="B19" s="124" t="s">
        <v>282</v>
      </c>
      <c r="C19" s="32" t="s">
        <v>283</v>
      </c>
      <c r="D19" s="244">
        <v>1500</v>
      </c>
      <c r="E19" s="32" t="s">
        <v>94</v>
      </c>
      <c r="F19" s="32" t="s">
        <v>245</v>
      </c>
      <c r="G19" s="32" t="s">
        <v>193</v>
      </c>
      <c r="H19" s="32"/>
    </row>
    <row r="20" ht="18" customHeight="1" spans="1:8">
      <c r="A20" s="120">
        <v>17</v>
      </c>
      <c r="B20" s="121" t="s">
        <v>284</v>
      </c>
      <c r="C20" s="37" t="s">
        <v>248</v>
      </c>
      <c r="D20" s="243">
        <v>138</v>
      </c>
      <c r="E20" s="37" t="s">
        <v>102</v>
      </c>
      <c r="F20" s="37" t="s">
        <v>249</v>
      </c>
      <c r="G20" s="37" t="s">
        <v>193</v>
      </c>
      <c r="H20" s="37"/>
    </row>
    <row r="21" ht="18" customHeight="1" spans="1:8">
      <c r="A21" s="123">
        <v>18</v>
      </c>
      <c r="B21" s="124" t="s">
        <v>285</v>
      </c>
      <c r="C21" s="32" t="s">
        <v>286</v>
      </c>
      <c r="D21" s="244">
        <v>40</v>
      </c>
      <c r="E21" s="32" t="s">
        <v>117</v>
      </c>
      <c r="F21" s="32" t="s">
        <v>245</v>
      </c>
      <c r="G21" s="32" t="s">
        <v>193</v>
      </c>
      <c r="H21" s="32"/>
    </row>
    <row r="22" ht="18" customHeight="1" spans="1:8">
      <c r="A22" s="120">
        <v>19</v>
      </c>
      <c r="B22" s="121" t="s">
        <v>287</v>
      </c>
      <c r="C22" s="37" t="s">
        <v>288</v>
      </c>
      <c r="D22" s="243">
        <v>80</v>
      </c>
      <c r="E22" s="37" t="s">
        <v>117</v>
      </c>
      <c r="F22" s="37" t="s">
        <v>253</v>
      </c>
      <c r="G22" s="37" t="s">
        <v>254</v>
      </c>
      <c r="H22" s="37" t="s">
        <v>289</v>
      </c>
    </row>
    <row r="23" ht="18" customHeight="1" spans="1:8">
      <c r="A23" s="123">
        <v>20</v>
      </c>
      <c r="B23" s="124" t="s">
        <v>290</v>
      </c>
      <c r="C23" s="32" t="s">
        <v>291</v>
      </c>
      <c r="D23" s="244">
        <v>145</v>
      </c>
      <c r="E23" s="32" t="s">
        <v>102</v>
      </c>
      <c r="F23" s="32" t="s">
        <v>253</v>
      </c>
      <c r="G23" s="32" t="s">
        <v>254</v>
      </c>
      <c r="H23" s="32"/>
    </row>
    <row r="24" ht="18" customHeight="1" spans="1:8">
      <c r="A24" s="120">
        <v>21</v>
      </c>
      <c r="B24" s="121" t="s">
        <v>292</v>
      </c>
      <c r="C24" s="37" t="s">
        <v>293</v>
      </c>
      <c r="D24" s="243">
        <v>120</v>
      </c>
      <c r="E24" s="37" t="s">
        <v>145</v>
      </c>
      <c r="F24" s="37" t="s">
        <v>245</v>
      </c>
      <c r="G24" s="37" t="s">
        <v>193</v>
      </c>
      <c r="H24" s="37"/>
    </row>
    <row r="25" ht="18" customHeight="1" spans="1:8">
      <c r="A25" s="123">
        <v>22</v>
      </c>
      <c r="B25" s="124" t="s">
        <v>211</v>
      </c>
      <c r="C25" s="32" t="s">
        <v>294</v>
      </c>
      <c r="D25" s="244">
        <v>30</v>
      </c>
      <c r="E25" s="32" t="s">
        <v>138</v>
      </c>
      <c r="F25" s="32" t="s">
        <v>253</v>
      </c>
      <c r="G25" s="32" t="s">
        <v>254</v>
      </c>
      <c r="H25" s="32" t="s">
        <v>295</v>
      </c>
    </row>
    <row r="26" ht="18" customHeight="1" spans="1:8">
      <c r="A26" s="120">
        <v>23</v>
      </c>
      <c r="B26" s="121" t="s">
        <v>296</v>
      </c>
      <c r="C26" s="37" t="s">
        <v>297</v>
      </c>
      <c r="D26" s="243">
        <v>58</v>
      </c>
      <c r="E26" s="37" t="s">
        <v>110</v>
      </c>
      <c r="F26" s="37" t="s">
        <v>253</v>
      </c>
      <c r="G26" s="37" t="s">
        <v>254</v>
      </c>
      <c r="H26" s="37"/>
    </row>
    <row r="27" ht="18" customHeight="1" spans="1:8">
      <c r="A27" s="123">
        <v>24</v>
      </c>
      <c r="B27" s="124" t="s">
        <v>298</v>
      </c>
      <c r="C27" s="32" t="s">
        <v>299</v>
      </c>
      <c r="D27" s="244">
        <v>1500</v>
      </c>
      <c r="E27" s="32" t="s">
        <v>94</v>
      </c>
      <c r="F27" s="32" t="s">
        <v>245</v>
      </c>
      <c r="G27" s="32" t="s">
        <v>193</v>
      </c>
      <c r="H27" s="32"/>
    </row>
    <row r="28" ht="18" customHeight="1" spans="1:8">
      <c r="A28" s="120">
        <v>25</v>
      </c>
      <c r="B28" s="121" t="s">
        <v>300</v>
      </c>
      <c r="C28" s="37" t="s">
        <v>301</v>
      </c>
      <c r="D28" s="243">
        <v>118</v>
      </c>
      <c r="E28" s="37" t="s">
        <v>102</v>
      </c>
      <c r="F28" s="37" t="s">
        <v>249</v>
      </c>
      <c r="G28" s="37" t="s">
        <v>193</v>
      </c>
      <c r="H28" s="37"/>
    </row>
    <row r="29" ht="24" customHeight="1" spans="1:8">
      <c r="A29" s="72" t="s">
        <v>302</v>
      </c>
      <c r="B29" s="72"/>
      <c r="C29" s="72"/>
      <c r="D29" s="245">
        <f>SUM(D4:D28)</f>
        <v>6187.98</v>
      </c>
    </row>
    <row r="31" ht="21.75" customHeight="1" spans="1:8">
      <c r="A31" s="223" t="s">
        <v>303</v>
      </c>
      <c r="B31" s="223"/>
      <c r="C31" s="223"/>
      <c r="D31" s="223"/>
      <c r="E31" s="223"/>
      <c r="F31" s="223"/>
      <c r="G31" s="223"/>
      <c r="H31" s="223"/>
    </row>
    <row r="32" spans="1:8">
      <c r="A32" s="246" t="s">
        <v>186</v>
      </c>
      <c r="B32" s="246"/>
      <c r="C32" s="28" t="s">
        <v>304</v>
      </c>
      <c r="D32" s="28" t="s">
        <v>238</v>
      </c>
      <c r="E32" s="28" t="s">
        <v>305</v>
      </c>
      <c r="F32" s="28" t="s">
        <v>306</v>
      </c>
    </row>
    <row r="33" ht="18" customHeight="1" spans="1:6">
      <c r="A33" s="81" t="s">
        <v>94</v>
      </c>
      <c r="B33" s="81"/>
      <c r="C33" s="247">
        <f>SUMIF(E4:E28,A33,D4:D28)</f>
        <v>4500</v>
      </c>
      <c r="D33" s="129">
        <f>IFERROR(C33/D29,0)</f>
        <v>0.727216312916331</v>
      </c>
      <c r="E33" s="248">
        <v>1500</v>
      </c>
      <c r="F33" s="67">
        <f t="shared" ref="F33:F44" si="0">E33-C33</f>
        <v>-3000</v>
      </c>
    </row>
    <row r="34" ht="18" customHeight="1" spans="1:6">
      <c r="A34" s="84" t="s">
        <v>102</v>
      </c>
      <c r="B34" s="84"/>
      <c r="C34" s="249">
        <f>SUMIF(E4:E28,A34,D4:D28)</f>
        <v>713</v>
      </c>
      <c r="D34" s="131">
        <f>IFERROR(C34/D29,0)</f>
        <v>0.115223384690965</v>
      </c>
      <c r="E34" s="250">
        <v>400</v>
      </c>
      <c r="F34" s="69">
        <f t="shared" si="0"/>
        <v>-313</v>
      </c>
    </row>
    <row r="35" ht="18" customHeight="1" spans="1:6">
      <c r="A35" s="81" t="s">
        <v>110</v>
      </c>
      <c r="B35" s="81"/>
      <c r="C35" s="247">
        <f>SUMIF(E4:E28,A35,D4:D28)</f>
        <v>145</v>
      </c>
      <c r="D35" s="129">
        <f>IFERROR(C35/D29,0)</f>
        <v>0.0234325256384151</v>
      </c>
      <c r="E35" s="248">
        <v>200</v>
      </c>
      <c r="F35" s="67">
        <f t="shared" si="0"/>
        <v>55</v>
      </c>
    </row>
    <row r="36" ht="18" customHeight="1" spans="1:6">
      <c r="A36" s="84" t="s">
        <v>117</v>
      </c>
      <c r="B36" s="84"/>
      <c r="C36" s="249">
        <f>SUMIF(E4:E28,A36,D4:D28)</f>
        <v>160</v>
      </c>
      <c r="D36" s="131">
        <f>IFERROR(C36/D29,0)</f>
        <v>0.0258565800148029</v>
      </c>
      <c r="E36" s="250">
        <v>150</v>
      </c>
      <c r="F36" s="69">
        <f t="shared" si="0"/>
        <v>-10</v>
      </c>
    </row>
    <row r="37" ht="18" customHeight="1" spans="1:6">
      <c r="A37" s="81" t="s">
        <v>125</v>
      </c>
      <c r="B37" s="81"/>
      <c r="C37" s="247">
        <f>SUMIF(E4:E28,A37,D4:D28)</f>
        <v>0</v>
      </c>
      <c r="D37" s="129">
        <f>IFERROR(C37/D29,0)</f>
        <v>0</v>
      </c>
      <c r="E37" s="248">
        <v>100</v>
      </c>
      <c r="F37" s="67">
        <f t="shared" si="0"/>
        <v>100</v>
      </c>
    </row>
    <row r="38" ht="18" customHeight="1" spans="1:6">
      <c r="A38" s="84" t="s">
        <v>133</v>
      </c>
      <c r="B38" s="84"/>
      <c r="C38" s="249">
        <f>SUMIF(E4:E28,A38,D4:D28)</f>
        <v>134</v>
      </c>
      <c r="D38" s="131">
        <f>IFERROR(C38/D29,0)</f>
        <v>0.0216548857623974</v>
      </c>
      <c r="E38" s="250">
        <v>150</v>
      </c>
      <c r="F38" s="69">
        <f t="shared" si="0"/>
        <v>16</v>
      </c>
    </row>
    <row r="39" ht="18" customHeight="1" spans="1:6">
      <c r="A39" s="81" t="s">
        <v>138</v>
      </c>
      <c r="B39" s="81"/>
      <c r="C39" s="247">
        <f>SUMIF(E4:E28,A39,D4:D28)</f>
        <v>30</v>
      </c>
      <c r="D39" s="129">
        <f>IFERROR(C39/D29,0)</f>
        <v>0.00484810875277554</v>
      </c>
      <c r="E39" s="248">
        <v>50</v>
      </c>
      <c r="F39" s="67">
        <f t="shared" si="0"/>
        <v>20</v>
      </c>
    </row>
    <row r="40" ht="18" customHeight="1" spans="1:6">
      <c r="A40" s="84" t="s">
        <v>140</v>
      </c>
      <c r="B40" s="84"/>
      <c r="C40" s="249">
        <f>SUMIF(E4:E28,A40,D4:D28)</f>
        <v>240</v>
      </c>
      <c r="D40" s="131">
        <f>IFERROR(C40/D29,0)</f>
        <v>0.0387848700222043</v>
      </c>
      <c r="E40" s="250">
        <v>200</v>
      </c>
      <c r="F40" s="69">
        <f t="shared" si="0"/>
        <v>-40</v>
      </c>
    </row>
    <row r="41" ht="18" customHeight="1" spans="1:6">
      <c r="A41" s="81" t="s">
        <v>145</v>
      </c>
      <c r="B41" s="81"/>
      <c r="C41" s="247">
        <f>SUMIF(E4:E28,A41,D4:D28)</f>
        <v>240</v>
      </c>
      <c r="D41" s="129">
        <f>IFERROR(C41/D29,0)</f>
        <v>0.0387848700222043</v>
      </c>
      <c r="E41" s="248">
        <v>120</v>
      </c>
      <c r="F41" s="67">
        <f t="shared" si="0"/>
        <v>-120</v>
      </c>
    </row>
    <row r="42" ht="18" customHeight="1" spans="1:6">
      <c r="A42" s="84" t="s">
        <v>149</v>
      </c>
      <c r="B42" s="84"/>
      <c r="C42" s="249">
        <f>SUMIF(E4:E28,A42,D4:D28)</f>
        <v>0</v>
      </c>
      <c r="D42" s="131">
        <f>IFERROR(C42/D29,0)</f>
        <v>0</v>
      </c>
      <c r="E42" s="250">
        <v>80</v>
      </c>
      <c r="F42" s="69">
        <f t="shared" si="0"/>
        <v>80</v>
      </c>
    </row>
    <row r="43" ht="18" customHeight="1" spans="1:6">
      <c r="A43" s="81" t="s">
        <v>151</v>
      </c>
      <c r="B43" s="81"/>
      <c r="C43" s="247">
        <f>SUMIF(E4:E28,A43,D4:D28)</f>
        <v>25.98</v>
      </c>
      <c r="D43" s="129">
        <f>IFERROR(C43/D29,0)</f>
        <v>0.00419846217990362</v>
      </c>
      <c r="E43" s="248">
        <v>50</v>
      </c>
      <c r="F43" s="67">
        <f t="shared" si="0"/>
        <v>24.02</v>
      </c>
    </row>
    <row r="44" ht="18" customHeight="1" spans="1:6">
      <c r="A44" s="84" t="s">
        <v>146</v>
      </c>
      <c r="B44" s="84"/>
      <c r="C44" s="249">
        <f>SUMIF(E4:E28,A44,D4:D28)</f>
        <v>0</v>
      </c>
      <c r="D44" s="131">
        <f>IFERROR(C44/D29,0)</f>
        <v>0</v>
      </c>
      <c r="E44" s="250">
        <v>100</v>
      </c>
      <c r="F44" s="69">
        <f t="shared" si="0"/>
        <v>100</v>
      </c>
    </row>
  </sheetData>
  <mergeCells count="17">
    <mergeCell ref="A1:H1"/>
    <mergeCell ref="A2:H2"/>
    <mergeCell ref="A29:C29"/>
    <mergeCell ref="A31:H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</mergeCells>
  <dataValidations count="1">
    <dataValidation type="list" showInputMessage="1" showErrorMessage="1" sqref="E4:E500">
      <formula1>SETUP!$B$4:$B$18</formula1>
    </dataValidation>
  </dataValidations>
  <pageMargins left="0.25" right="0.25" top="0.4" bottom="0.4" header="0.511811023622047" footer="0.511811023622047"/>
  <pageSetup paperSize="1" fitToHeight="0" orientation="landscape" horizontalDpi="300" verticalDpi="3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7706"/>
    <pageSetUpPr fitToPage="1"/>
  </sheetPr>
  <dimension ref="A1:G36"/>
  <sheetViews>
    <sheetView showGridLines="0" zoomScale="90" zoomScaleNormal="90" workbookViewId="0">
      <pane ySplit="4" topLeftCell="A5" activePane="bottomLeft" state="frozen"/>
      <selection/>
      <selection pane="bottomLeft" activeCell="A1" sqref="A1:G1"/>
    </sheetView>
  </sheetViews>
  <sheetFormatPr defaultColWidth="8.68181818181818" defaultRowHeight="14.5" outlineLevelCol="6"/>
  <cols>
    <col min="1" max="1" width="24" customWidth="1"/>
    <col min="2" max="2" width="14" customWidth="1"/>
    <col min="3" max="6" width="13" customWidth="1"/>
    <col min="7" max="7" width="14" customWidth="1"/>
  </cols>
  <sheetData>
    <row r="1" ht="31.5" customHeight="1" spans="1:7">
      <c r="A1" s="58" t="s">
        <v>307</v>
      </c>
      <c r="B1" s="58"/>
      <c r="C1" s="58"/>
      <c r="D1" s="58"/>
      <c r="E1" s="58"/>
      <c r="F1" s="58"/>
      <c r="G1" s="58"/>
    </row>
    <row r="2" ht="15.75" customHeight="1" spans="1:7">
      <c r="A2" s="22" t="s">
        <v>308</v>
      </c>
      <c r="B2" s="22"/>
      <c r="C2" s="22"/>
      <c r="D2" s="22"/>
      <c r="E2" s="22"/>
      <c r="F2" s="22"/>
      <c r="G2" s="22"/>
    </row>
    <row r="4" ht="21.75" customHeight="1" spans="1:7">
      <c r="A4" s="26" t="s">
        <v>186</v>
      </c>
      <c r="B4" s="26" t="s">
        <v>305</v>
      </c>
      <c r="C4" s="50" t="s">
        <v>309</v>
      </c>
      <c r="D4" s="50" t="s">
        <v>310</v>
      </c>
      <c r="E4" s="50" t="s">
        <v>311</v>
      </c>
      <c r="F4" s="24" t="s">
        <v>312</v>
      </c>
      <c r="G4" s="27" t="s">
        <v>313</v>
      </c>
    </row>
    <row r="5" ht="18" customHeight="1" spans="1:7">
      <c r="A5" s="29" t="s">
        <v>94</v>
      </c>
      <c r="B5" s="237">
        <v>1500</v>
      </c>
      <c r="C5" s="67">
        <v>1500</v>
      </c>
      <c r="D5" s="67">
        <v>1500</v>
      </c>
      <c r="E5" s="67">
        <v>1500</v>
      </c>
      <c r="F5" s="238">
        <f t="shared" ref="F5:F18" si="0">SUM(C5:E5)</f>
        <v>4500</v>
      </c>
      <c r="G5" s="32" t="str">
        <f t="shared" ref="G5:G18" si="1">IF(F5&lt;=B5*3,"✅ On Track","⚠️ Over Budget")</f>
        <v>✅ On Track</v>
      </c>
    </row>
    <row r="6" ht="18" customHeight="1" spans="1:7">
      <c r="A6" s="34" t="s">
        <v>102</v>
      </c>
      <c r="B6" s="239">
        <v>400</v>
      </c>
      <c r="C6" s="69">
        <v>402</v>
      </c>
      <c r="D6" s="69">
        <v>423</v>
      </c>
      <c r="E6" s="69">
        <v>358</v>
      </c>
      <c r="F6" s="240">
        <f t="shared" si="0"/>
        <v>1183</v>
      </c>
      <c r="G6" s="37" t="str">
        <f t="shared" si="1"/>
        <v>✅ On Track</v>
      </c>
    </row>
    <row r="7" ht="18" customHeight="1" spans="1:7">
      <c r="A7" s="29" t="s">
        <v>110</v>
      </c>
      <c r="B7" s="237">
        <v>200</v>
      </c>
      <c r="C7" s="67">
        <v>182</v>
      </c>
      <c r="D7" s="67">
        <v>218</v>
      </c>
      <c r="E7" s="67">
        <v>176</v>
      </c>
      <c r="F7" s="238">
        <f t="shared" si="0"/>
        <v>576</v>
      </c>
      <c r="G7" s="32" t="str">
        <f t="shared" si="1"/>
        <v>✅ On Track</v>
      </c>
    </row>
    <row r="8" ht="18" customHeight="1" spans="1:7">
      <c r="A8" s="34" t="s">
        <v>117</v>
      </c>
      <c r="B8" s="239">
        <v>150</v>
      </c>
      <c r="C8" s="69">
        <v>120</v>
      </c>
      <c r="D8" s="69">
        <v>200</v>
      </c>
      <c r="E8" s="69">
        <v>120</v>
      </c>
      <c r="F8" s="240">
        <f t="shared" si="0"/>
        <v>440</v>
      </c>
      <c r="G8" s="37" t="str">
        <f t="shared" si="1"/>
        <v>✅ On Track</v>
      </c>
    </row>
    <row r="9" ht="18" customHeight="1" spans="1:7">
      <c r="A9" s="29" t="s">
        <v>125</v>
      </c>
      <c r="B9" s="237">
        <v>100</v>
      </c>
      <c r="C9" s="67">
        <v>98</v>
      </c>
      <c r="D9" s="67">
        <v>78</v>
      </c>
      <c r="E9" s="67">
        <v>110</v>
      </c>
      <c r="F9" s="238">
        <f t="shared" si="0"/>
        <v>286</v>
      </c>
      <c r="G9" s="32" t="str">
        <f t="shared" si="1"/>
        <v>✅ On Track</v>
      </c>
    </row>
    <row r="10" ht="18" customHeight="1" spans="1:7">
      <c r="A10" s="34" t="s">
        <v>133</v>
      </c>
      <c r="B10" s="239">
        <v>150</v>
      </c>
      <c r="C10" s="69">
        <v>134</v>
      </c>
      <c r="D10" s="69">
        <v>89</v>
      </c>
      <c r="E10" s="69">
        <v>118</v>
      </c>
      <c r="F10" s="240">
        <f t="shared" si="0"/>
        <v>341</v>
      </c>
      <c r="G10" s="37" t="str">
        <f t="shared" si="1"/>
        <v>✅ On Track</v>
      </c>
    </row>
    <row r="11" ht="18" customHeight="1" spans="1:7">
      <c r="A11" s="29" t="s">
        <v>138</v>
      </c>
      <c r="B11" s="237">
        <v>50</v>
      </c>
      <c r="C11" s="67">
        <v>0</v>
      </c>
      <c r="D11" s="67">
        <v>30</v>
      </c>
      <c r="E11" s="67">
        <v>0</v>
      </c>
      <c r="F11" s="238">
        <f t="shared" si="0"/>
        <v>30</v>
      </c>
      <c r="G11" s="32" t="str">
        <f t="shared" si="1"/>
        <v>✅ On Track</v>
      </c>
    </row>
    <row r="12" ht="18" customHeight="1" spans="1:7">
      <c r="A12" s="34" t="s">
        <v>140</v>
      </c>
      <c r="B12" s="239">
        <v>200</v>
      </c>
      <c r="C12" s="69">
        <v>240</v>
      </c>
      <c r="D12" s="69">
        <v>213</v>
      </c>
      <c r="E12" s="69">
        <v>198</v>
      </c>
      <c r="F12" s="240">
        <f t="shared" si="0"/>
        <v>651</v>
      </c>
      <c r="G12" s="37" t="str">
        <f t="shared" si="1"/>
        <v>⚠️ Over Budget</v>
      </c>
    </row>
    <row r="13" ht="18" customHeight="1" spans="1:7">
      <c r="A13" s="29" t="s">
        <v>145</v>
      </c>
      <c r="B13" s="237">
        <v>120</v>
      </c>
      <c r="C13" s="67">
        <v>120</v>
      </c>
      <c r="D13" s="67">
        <v>120</v>
      </c>
      <c r="E13" s="67">
        <v>120</v>
      </c>
      <c r="F13" s="238">
        <f t="shared" si="0"/>
        <v>360</v>
      </c>
      <c r="G13" s="32" t="str">
        <f t="shared" si="1"/>
        <v>✅ On Track</v>
      </c>
    </row>
    <row r="14" ht="18" customHeight="1" spans="1:7">
      <c r="A14" s="34" t="s">
        <v>149</v>
      </c>
      <c r="B14" s="239">
        <v>80</v>
      </c>
      <c r="C14" s="69">
        <v>72</v>
      </c>
      <c r="D14" s="69">
        <v>65</v>
      </c>
      <c r="E14" s="69">
        <v>88</v>
      </c>
      <c r="F14" s="240">
        <f t="shared" si="0"/>
        <v>225</v>
      </c>
      <c r="G14" s="37" t="str">
        <f t="shared" si="1"/>
        <v>✅ On Track</v>
      </c>
    </row>
    <row r="15" ht="18" customHeight="1" spans="1:7">
      <c r="A15" s="29" t="s">
        <v>151</v>
      </c>
      <c r="B15" s="237">
        <v>50</v>
      </c>
      <c r="C15" s="67">
        <v>25.98</v>
      </c>
      <c r="D15" s="67">
        <v>25.98</v>
      </c>
      <c r="E15" s="67">
        <v>25.98</v>
      </c>
      <c r="F15" s="238">
        <f t="shared" si="0"/>
        <v>77.94</v>
      </c>
      <c r="G15" s="32" t="str">
        <f t="shared" si="1"/>
        <v>✅ On Track</v>
      </c>
    </row>
    <row r="16" ht="18" customHeight="1" spans="1:7">
      <c r="A16" s="34" t="s">
        <v>152</v>
      </c>
      <c r="B16" s="239">
        <v>600</v>
      </c>
      <c r="C16" s="69">
        <v>600</v>
      </c>
      <c r="D16" s="69">
        <v>600</v>
      </c>
      <c r="E16" s="69">
        <v>600</v>
      </c>
      <c r="F16" s="240">
        <f t="shared" si="0"/>
        <v>1800</v>
      </c>
      <c r="G16" s="37" t="str">
        <f t="shared" si="1"/>
        <v>✅ On Track</v>
      </c>
    </row>
    <row r="17" ht="18" customHeight="1" spans="1:7">
      <c r="A17" s="29" t="s">
        <v>153</v>
      </c>
      <c r="B17" s="237">
        <v>150</v>
      </c>
      <c r="C17" s="67">
        <v>150</v>
      </c>
      <c r="D17" s="67">
        <v>150</v>
      </c>
      <c r="E17" s="67">
        <v>150</v>
      </c>
      <c r="F17" s="238">
        <f t="shared" si="0"/>
        <v>450</v>
      </c>
      <c r="G17" s="32" t="str">
        <f t="shared" si="1"/>
        <v>✅ On Track</v>
      </c>
    </row>
    <row r="18" ht="18" customHeight="1" spans="1:7">
      <c r="A18" s="34" t="s">
        <v>146</v>
      </c>
      <c r="B18" s="239">
        <v>100</v>
      </c>
      <c r="C18" s="69">
        <v>80</v>
      </c>
      <c r="D18" s="69">
        <v>45</v>
      </c>
      <c r="E18" s="69">
        <v>92</v>
      </c>
      <c r="F18" s="240">
        <f t="shared" si="0"/>
        <v>217</v>
      </c>
      <c r="G18" s="37" t="str">
        <f t="shared" si="1"/>
        <v>✅ On Track</v>
      </c>
    </row>
    <row r="19" ht="24" customHeight="1" spans="1:7">
      <c r="A19" s="241" t="s">
        <v>314</v>
      </c>
      <c r="B19" s="242">
        <f>SUM(B5:B18)</f>
        <v>3850</v>
      </c>
      <c r="C19" s="242">
        <f>SUM(C5:C18)</f>
        <v>3723.98</v>
      </c>
      <c r="D19" s="242">
        <f>SUM(D5:D18)</f>
        <v>3756.98</v>
      </c>
      <c r="E19" s="242">
        <f>SUM(E5:E18)</f>
        <v>3655.98</v>
      </c>
      <c r="F19" s="242">
        <f>SUM(F5:F18)</f>
        <v>11136.94</v>
      </c>
      <c r="G19" s="187"/>
    </row>
    <row r="21" ht="21.75" customHeight="1" spans="1:7">
      <c r="A21" s="23" t="s">
        <v>315</v>
      </c>
      <c r="B21" s="23"/>
      <c r="C21" s="23"/>
      <c r="D21" s="23"/>
      <c r="E21" s="23"/>
      <c r="F21" s="23"/>
      <c r="G21" s="23"/>
    </row>
    <row r="22" spans="1:7">
      <c r="A22" s="24" t="s">
        <v>186</v>
      </c>
      <c r="B22" s="24" t="s">
        <v>316</v>
      </c>
      <c r="C22" s="24" t="s">
        <v>317</v>
      </c>
      <c r="D22" s="24" t="s">
        <v>318</v>
      </c>
      <c r="E22" s="24" t="s">
        <v>319</v>
      </c>
    </row>
    <row r="23" ht="18" customHeight="1" spans="1:7">
      <c r="A23" s="32" t="s">
        <v>94</v>
      </c>
      <c r="B23" s="234">
        <v>4500</v>
      </c>
      <c r="C23" s="238">
        <f t="shared" ref="C23:C36" si="2">SUM(C5:E5)</f>
        <v>4500</v>
      </c>
      <c r="D23" s="67">
        <f t="shared" ref="D23:D36" si="3">B23-C23</f>
        <v>0</v>
      </c>
      <c r="E23" s="129">
        <f t="shared" ref="E23:E36" si="4">IFERROR(C23/B23,0)</f>
        <v>1</v>
      </c>
    </row>
    <row r="24" ht="18" customHeight="1" spans="1:7">
      <c r="A24" s="37" t="s">
        <v>102</v>
      </c>
      <c r="B24" s="232">
        <v>1200</v>
      </c>
      <c r="C24" s="240">
        <f t="shared" si="2"/>
        <v>1183</v>
      </c>
      <c r="D24" s="69">
        <f t="shared" si="3"/>
        <v>17</v>
      </c>
      <c r="E24" s="131">
        <f t="shared" si="4"/>
        <v>0.985833333333333</v>
      </c>
    </row>
    <row r="25" ht="18" customHeight="1" spans="1:7">
      <c r="A25" s="32" t="s">
        <v>110</v>
      </c>
      <c r="B25" s="234">
        <v>600</v>
      </c>
      <c r="C25" s="238">
        <f t="shared" si="2"/>
        <v>576</v>
      </c>
      <c r="D25" s="67">
        <f t="shared" si="3"/>
        <v>24</v>
      </c>
      <c r="E25" s="129">
        <f t="shared" si="4"/>
        <v>0.96</v>
      </c>
    </row>
    <row r="26" ht="18" customHeight="1" spans="1:7">
      <c r="A26" s="37" t="s">
        <v>117</v>
      </c>
      <c r="B26" s="232">
        <v>450</v>
      </c>
      <c r="C26" s="240">
        <f t="shared" si="2"/>
        <v>440</v>
      </c>
      <c r="D26" s="69">
        <f t="shared" si="3"/>
        <v>10</v>
      </c>
      <c r="E26" s="131">
        <f t="shared" si="4"/>
        <v>0.977777777777778</v>
      </c>
    </row>
    <row r="27" ht="18" customHeight="1" spans="1:7">
      <c r="A27" s="32" t="s">
        <v>125</v>
      </c>
      <c r="B27" s="234">
        <v>300</v>
      </c>
      <c r="C27" s="238">
        <f t="shared" si="2"/>
        <v>286</v>
      </c>
      <c r="D27" s="67">
        <f t="shared" si="3"/>
        <v>14</v>
      </c>
      <c r="E27" s="129">
        <f t="shared" si="4"/>
        <v>0.953333333333333</v>
      </c>
    </row>
    <row r="28" ht="18" customHeight="1" spans="1:7">
      <c r="A28" s="37" t="s">
        <v>133</v>
      </c>
      <c r="B28" s="232">
        <v>450</v>
      </c>
      <c r="C28" s="240">
        <f t="shared" si="2"/>
        <v>341</v>
      </c>
      <c r="D28" s="69">
        <f t="shared" si="3"/>
        <v>109</v>
      </c>
      <c r="E28" s="131">
        <f t="shared" si="4"/>
        <v>0.757777777777778</v>
      </c>
    </row>
    <row r="29" ht="18" customHeight="1" spans="1:7">
      <c r="A29" s="32" t="s">
        <v>138</v>
      </c>
      <c r="B29" s="234">
        <v>150</v>
      </c>
      <c r="C29" s="238">
        <f t="shared" si="2"/>
        <v>30</v>
      </c>
      <c r="D29" s="67">
        <f t="shared" si="3"/>
        <v>120</v>
      </c>
      <c r="E29" s="129">
        <f t="shared" si="4"/>
        <v>0.2</v>
      </c>
    </row>
    <row r="30" ht="18" customHeight="1" spans="1:7">
      <c r="A30" s="37" t="s">
        <v>140</v>
      </c>
      <c r="B30" s="232">
        <v>600</v>
      </c>
      <c r="C30" s="240">
        <f t="shared" si="2"/>
        <v>651</v>
      </c>
      <c r="D30" s="69">
        <f t="shared" si="3"/>
        <v>-51</v>
      </c>
      <c r="E30" s="131">
        <f t="shared" si="4"/>
        <v>1.085</v>
      </c>
    </row>
    <row r="31" ht="18" customHeight="1" spans="1:7">
      <c r="A31" s="32" t="s">
        <v>145</v>
      </c>
      <c r="B31" s="234">
        <v>360</v>
      </c>
      <c r="C31" s="238">
        <f t="shared" si="2"/>
        <v>360</v>
      </c>
      <c r="D31" s="67">
        <f t="shared" si="3"/>
        <v>0</v>
      </c>
      <c r="E31" s="129">
        <f t="shared" si="4"/>
        <v>1</v>
      </c>
    </row>
    <row r="32" ht="18" customHeight="1" spans="1:7">
      <c r="A32" s="37" t="s">
        <v>149</v>
      </c>
      <c r="B32" s="232">
        <v>240</v>
      </c>
      <c r="C32" s="240">
        <f t="shared" si="2"/>
        <v>225</v>
      </c>
      <c r="D32" s="69">
        <f t="shared" si="3"/>
        <v>15</v>
      </c>
      <c r="E32" s="131">
        <f t="shared" si="4"/>
        <v>0.9375</v>
      </c>
    </row>
    <row r="33" ht="18" customHeight="1" spans="1:5">
      <c r="A33" s="32" t="s">
        <v>151</v>
      </c>
      <c r="B33" s="234">
        <v>150</v>
      </c>
      <c r="C33" s="238">
        <f t="shared" si="2"/>
        <v>77.94</v>
      </c>
      <c r="D33" s="67">
        <f t="shared" si="3"/>
        <v>72.06</v>
      </c>
      <c r="E33" s="129">
        <f t="shared" si="4"/>
        <v>0.5196</v>
      </c>
    </row>
    <row r="34" ht="18" customHeight="1" spans="1:5">
      <c r="A34" s="37" t="s">
        <v>152</v>
      </c>
      <c r="B34" s="232">
        <v>1800</v>
      </c>
      <c r="C34" s="240">
        <f t="shared" si="2"/>
        <v>1800</v>
      </c>
      <c r="D34" s="69">
        <f t="shared" si="3"/>
        <v>0</v>
      </c>
      <c r="E34" s="131">
        <f t="shared" si="4"/>
        <v>1</v>
      </c>
    </row>
    <row r="35" ht="18" customHeight="1" spans="1:5">
      <c r="A35" s="32" t="s">
        <v>153</v>
      </c>
      <c r="B35" s="234">
        <v>450</v>
      </c>
      <c r="C35" s="238">
        <f t="shared" si="2"/>
        <v>450</v>
      </c>
      <c r="D35" s="67">
        <f t="shared" si="3"/>
        <v>0</v>
      </c>
      <c r="E35" s="129">
        <f t="shared" si="4"/>
        <v>1</v>
      </c>
    </row>
    <row r="36" ht="18" customHeight="1" spans="1:5">
      <c r="A36" s="37" t="s">
        <v>146</v>
      </c>
      <c r="B36" s="232">
        <v>300</v>
      </c>
      <c r="C36" s="240">
        <f t="shared" si="2"/>
        <v>217</v>
      </c>
      <c r="D36" s="69">
        <f t="shared" si="3"/>
        <v>83</v>
      </c>
      <c r="E36" s="131">
        <f t="shared" si="4"/>
        <v>0.723333333333333</v>
      </c>
    </row>
  </sheetData>
  <mergeCells count="3">
    <mergeCell ref="A1:G1"/>
    <mergeCell ref="A2:G2"/>
    <mergeCell ref="A21:G21"/>
  </mergeCells>
  <pageMargins left="0.25" right="0.25" top="0.4" bottom="0.4" header="0.511811023622047" footer="0.511811023622047"/>
  <pageSetup paperSize="1" fitToHeight="0" orientation="landscape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A580C"/>
    <pageSetUpPr fitToPage="1"/>
  </sheetPr>
  <dimension ref="A1:I16"/>
  <sheetViews>
    <sheetView showGridLines="0" zoomScale="90" zoomScaleNormal="90" workbookViewId="0">
      <pane ySplit="3" topLeftCell="A4" activePane="bottomLeft" state="frozen"/>
      <selection/>
      <selection pane="bottomLeft" activeCell="A1" sqref="A1:H1"/>
    </sheetView>
  </sheetViews>
  <sheetFormatPr defaultColWidth="8.68181818181818" defaultRowHeight="14.5"/>
  <cols>
    <col min="1" max="1" width="4" customWidth="1"/>
    <col min="2" max="2" width="24" customWidth="1"/>
    <col min="3" max="3" width="16" customWidth="1"/>
    <col min="4" max="4" width="12" customWidth="1"/>
    <col min="5" max="5" width="14" customWidth="1"/>
    <col min="6" max="6" width="12" customWidth="1"/>
    <col min="7" max="7" width="14" customWidth="1"/>
    <col min="8" max="8" width="10" customWidth="1"/>
    <col min="9" max="9" width="16" customWidth="1"/>
  </cols>
  <sheetData>
    <row r="1" ht="31.5" customHeight="1" spans="1:9">
      <c r="A1" s="119" t="s">
        <v>320</v>
      </c>
      <c r="B1" s="119"/>
      <c r="C1" s="119"/>
      <c r="D1" s="119"/>
      <c r="E1" s="119"/>
      <c r="F1" s="119"/>
      <c r="G1" s="119"/>
      <c r="H1" s="119"/>
    </row>
    <row r="2" ht="15.75" customHeight="1" spans="1:9">
      <c r="A2" s="22" t="s">
        <v>321</v>
      </c>
      <c r="B2" s="22"/>
      <c r="C2" s="22"/>
      <c r="D2" s="22"/>
      <c r="E2" s="22"/>
      <c r="F2" s="22"/>
      <c r="G2" s="22"/>
      <c r="H2" s="22"/>
    </row>
    <row r="3" ht="21.75" customHeight="1" spans="1:9">
      <c r="A3" s="49" t="s">
        <v>183</v>
      </c>
      <c r="B3" s="49" t="s">
        <v>185</v>
      </c>
      <c r="C3" s="49" t="s">
        <v>186</v>
      </c>
      <c r="D3" s="49" t="s">
        <v>187</v>
      </c>
      <c r="E3" s="49" t="s">
        <v>322</v>
      </c>
      <c r="F3" s="49" t="s">
        <v>323</v>
      </c>
      <c r="G3" s="49" t="s">
        <v>324</v>
      </c>
      <c r="H3" s="49" t="s">
        <v>325</v>
      </c>
      <c r="I3" s="26" t="s">
        <v>326</v>
      </c>
    </row>
    <row r="4" ht="18" customHeight="1" spans="1:9">
      <c r="A4" s="37">
        <v>1</v>
      </c>
      <c r="B4" s="37" t="s">
        <v>327</v>
      </c>
      <c r="C4" s="37" t="s">
        <v>94</v>
      </c>
      <c r="D4" s="231">
        <v>1500</v>
      </c>
      <c r="E4" s="37" t="s">
        <v>124</v>
      </c>
      <c r="F4" s="37" t="s">
        <v>206</v>
      </c>
      <c r="G4" s="37" t="s">
        <v>328</v>
      </c>
      <c r="H4" s="37" t="s">
        <v>329</v>
      </c>
      <c r="I4" s="232">
        <f t="shared" ref="I4:I15" si="0">IF(H4="Yes",D4*12,0)</f>
        <v>18000</v>
      </c>
    </row>
    <row r="5" ht="18" customHeight="1" spans="1:9">
      <c r="A5" s="32">
        <v>2</v>
      </c>
      <c r="B5" s="32" t="s">
        <v>252</v>
      </c>
      <c r="C5" s="32" t="s">
        <v>151</v>
      </c>
      <c r="D5" s="233">
        <v>15.99</v>
      </c>
      <c r="E5" s="32" t="s">
        <v>124</v>
      </c>
      <c r="F5" s="32" t="s">
        <v>284</v>
      </c>
      <c r="G5" s="32" t="s">
        <v>329</v>
      </c>
      <c r="H5" s="32" t="s">
        <v>329</v>
      </c>
      <c r="I5" s="234">
        <f t="shared" si="0"/>
        <v>191.88</v>
      </c>
    </row>
    <row r="6" ht="18" customHeight="1" spans="1:9">
      <c r="A6" s="37">
        <v>3</v>
      </c>
      <c r="B6" s="37" t="s">
        <v>272</v>
      </c>
      <c r="C6" s="37" t="s">
        <v>151</v>
      </c>
      <c r="D6" s="231">
        <v>9.99</v>
      </c>
      <c r="E6" s="37" t="s">
        <v>124</v>
      </c>
      <c r="F6" s="37" t="s">
        <v>284</v>
      </c>
      <c r="G6" s="37" t="s">
        <v>329</v>
      </c>
      <c r="H6" s="37" t="s">
        <v>329</v>
      </c>
      <c r="I6" s="232">
        <f t="shared" si="0"/>
        <v>119.88</v>
      </c>
    </row>
    <row r="7" ht="18" customHeight="1" spans="1:9">
      <c r="A7" s="32">
        <v>4</v>
      </c>
      <c r="B7" s="32" t="s">
        <v>259</v>
      </c>
      <c r="C7" s="32" t="s">
        <v>117</v>
      </c>
      <c r="D7" s="233">
        <v>40</v>
      </c>
      <c r="E7" s="32" t="s">
        <v>124</v>
      </c>
      <c r="F7" s="32" t="s">
        <v>206</v>
      </c>
      <c r="G7" s="32" t="s">
        <v>329</v>
      </c>
      <c r="H7" s="32" t="s">
        <v>329</v>
      </c>
      <c r="I7" s="234">
        <f t="shared" si="0"/>
        <v>480</v>
      </c>
    </row>
    <row r="8" ht="18" customHeight="1" spans="1:9">
      <c r="A8" s="37">
        <v>5</v>
      </c>
      <c r="B8" s="37" t="s">
        <v>267</v>
      </c>
      <c r="C8" s="37" t="s">
        <v>145</v>
      </c>
      <c r="D8" s="231">
        <v>120</v>
      </c>
      <c r="E8" s="37" t="s">
        <v>124</v>
      </c>
      <c r="F8" s="37" t="s">
        <v>292</v>
      </c>
      <c r="G8" s="37" t="s">
        <v>329</v>
      </c>
      <c r="H8" s="37" t="s">
        <v>329</v>
      </c>
      <c r="I8" s="232">
        <f t="shared" si="0"/>
        <v>1440</v>
      </c>
    </row>
    <row r="9" ht="18" customHeight="1" spans="1:9">
      <c r="A9" s="32">
        <v>6</v>
      </c>
      <c r="B9" s="32" t="s">
        <v>330</v>
      </c>
      <c r="C9" s="32" t="s">
        <v>140</v>
      </c>
      <c r="D9" s="233">
        <v>65</v>
      </c>
      <c r="E9" s="32" t="s">
        <v>124</v>
      </c>
      <c r="F9" s="32" t="s">
        <v>287</v>
      </c>
      <c r="G9" s="32" t="s">
        <v>329</v>
      </c>
      <c r="H9" s="32" t="s">
        <v>329</v>
      </c>
      <c r="I9" s="234">
        <f t="shared" si="0"/>
        <v>780</v>
      </c>
    </row>
    <row r="10" ht="18" customHeight="1" spans="1:9">
      <c r="A10" s="37">
        <v>7</v>
      </c>
      <c r="B10" s="37" t="s">
        <v>281</v>
      </c>
      <c r="C10" s="37" t="s">
        <v>140</v>
      </c>
      <c r="D10" s="231">
        <v>80</v>
      </c>
      <c r="E10" s="37" t="s">
        <v>124</v>
      </c>
      <c r="F10" s="37" t="s">
        <v>206</v>
      </c>
      <c r="G10" s="37" t="s">
        <v>329</v>
      </c>
      <c r="H10" s="37" t="s">
        <v>329</v>
      </c>
      <c r="I10" s="232">
        <f t="shared" si="0"/>
        <v>960</v>
      </c>
    </row>
    <row r="11" ht="18" customHeight="1" spans="1:9">
      <c r="A11" s="32">
        <v>8</v>
      </c>
      <c r="B11" s="32" t="s">
        <v>331</v>
      </c>
      <c r="C11" s="32" t="s">
        <v>151</v>
      </c>
      <c r="D11" s="233">
        <v>14.99</v>
      </c>
      <c r="E11" s="32" t="s">
        <v>124</v>
      </c>
      <c r="F11" s="32" t="s">
        <v>290</v>
      </c>
      <c r="G11" s="32" t="s">
        <v>329</v>
      </c>
      <c r="H11" s="32" t="s">
        <v>329</v>
      </c>
      <c r="I11" s="234">
        <f t="shared" si="0"/>
        <v>179.88</v>
      </c>
    </row>
    <row r="12" ht="18" customHeight="1" spans="1:9">
      <c r="A12" s="37">
        <v>9</v>
      </c>
      <c r="B12" s="37" t="s">
        <v>332</v>
      </c>
      <c r="C12" s="37" t="s">
        <v>151</v>
      </c>
      <c r="D12" s="231">
        <v>54.99</v>
      </c>
      <c r="E12" s="37" t="s">
        <v>124</v>
      </c>
      <c r="F12" s="37" t="s">
        <v>296</v>
      </c>
      <c r="G12" s="37" t="s">
        <v>329</v>
      </c>
      <c r="H12" s="37" t="s">
        <v>329</v>
      </c>
      <c r="I12" s="232">
        <f t="shared" si="0"/>
        <v>659.88</v>
      </c>
    </row>
    <row r="13" ht="18" customHeight="1" spans="1:9">
      <c r="A13" s="32">
        <v>10</v>
      </c>
      <c r="B13" s="32" t="s">
        <v>333</v>
      </c>
      <c r="C13" s="32" t="s">
        <v>145</v>
      </c>
      <c r="D13" s="233">
        <v>220</v>
      </c>
      <c r="E13" s="32" t="s">
        <v>124</v>
      </c>
      <c r="F13" s="32" t="s">
        <v>206</v>
      </c>
      <c r="G13" s="32" t="s">
        <v>328</v>
      </c>
      <c r="H13" s="32" t="s">
        <v>329</v>
      </c>
      <c r="I13" s="234">
        <f t="shared" si="0"/>
        <v>2640</v>
      </c>
    </row>
    <row r="14" ht="18" customHeight="1" spans="1:9">
      <c r="A14" s="37">
        <v>11</v>
      </c>
      <c r="B14" s="37" t="s">
        <v>262</v>
      </c>
      <c r="C14" s="37" t="s">
        <v>140</v>
      </c>
      <c r="D14" s="231">
        <v>95</v>
      </c>
      <c r="E14" s="37" t="s">
        <v>124</v>
      </c>
      <c r="F14" s="37" t="s">
        <v>287</v>
      </c>
      <c r="G14" s="37" t="s">
        <v>328</v>
      </c>
      <c r="H14" s="37" t="s">
        <v>329</v>
      </c>
      <c r="I14" s="232">
        <f t="shared" si="0"/>
        <v>1140</v>
      </c>
    </row>
    <row r="15" ht="18" customHeight="1" spans="1:9">
      <c r="A15" s="32">
        <v>12</v>
      </c>
      <c r="B15" s="32" t="s">
        <v>334</v>
      </c>
      <c r="C15" s="32" t="s">
        <v>151</v>
      </c>
      <c r="D15" s="233">
        <v>7.99</v>
      </c>
      <c r="E15" s="32" t="s">
        <v>124</v>
      </c>
      <c r="F15" s="32" t="s">
        <v>285</v>
      </c>
      <c r="G15" s="32" t="s">
        <v>329</v>
      </c>
      <c r="H15" s="32" t="s">
        <v>329</v>
      </c>
      <c r="I15" s="234">
        <f t="shared" si="0"/>
        <v>95.88</v>
      </c>
    </row>
    <row r="16" ht="24" customHeight="1" spans="1:9">
      <c r="A16" s="72" t="s">
        <v>335</v>
      </c>
      <c r="B16" s="72"/>
      <c r="C16" s="72"/>
      <c r="D16" s="235">
        <f>SUMIF(H4:H15,"Yes",D4:D15)</f>
        <v>2223.95</v>
      </c>
      <c r="I16" s="236">
        <f>SUMIF(H4:H15,"Yes",I4:I15)</f>
        <v>26687.4</v>
      </c>
    </row>
  </sheetData>
  <mergeCells count="3">
    <mergeCell ref="A1:H1"/>
    <mergeCell ref="A2:H2"/>
    <mergeCell ref="A16:C16"/>
  </mergeCells>
  <dataValidations count="2">
    <dataValidation type="list" showInputMessage="1" showErrorMessage="1" sqref="C4:C200">
      <formula1>SETUP!$B$4:$B$18</formula1>
    </dataValidation>
    <dataValidation type="list" showInputMessage="1" showErrorMessage="1" sqref="E4:E200">
      <formula1>SETUP!$I$4:$I$9</formula1>
    </dataValidation>
  </dataValidations>
  <pageMargins left="0.25" right="0.25" top="0.4" bottom="0.4" header="0.511811023622047" footer="0.511811023622047"/>
  <pageSetup paperSize="1" fitToHeight="0" orientation="landscape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C3AED"/>
    <pageSetUpPr fitToPage="1"/>
  </sheetPr>
  <dimension ref="A1:I17"/>
  <sheetViews>
    <sheetView showGridLines="0" zoomScale="90" zoomScaleNormal="90" workbookViewId="0">
      <pane ySplit="4" topLeftCell="A5" activePane="bottomLeft" state="frozen"/>
      <selection/>
      <selection pane="bottomLeft" activeCell="A1" sqref="A1:I1"/>
    </sheetView>
  </sheetViews>
  <sheetFormatPr defaultColWidth="8.68181818181818" defaultRowHeight="14.5"/>
  <cols>
    <col min="1" max="1" width="22" customWidth="1"/>
    <col min="2" max="2" width="13" customWidth="1"/>
    <col min="3" max="4" width="16" customWidth="1"/>
    <col min="5" max="5" width="12" customWidth="1"/>
    <col min="6" max="7" width="14" customWidth="1"/>
    <col min="8" max="8" width="12" customWidth="1"/>
    <col min="9" max="9" width="24" customWidth="1"/>
  </cols>
  <sheetData>
    <row r="1" ht="31.5" customHeight="1" spans="1:9">
      <c r="A1" s="21" t="s">
        <v>336</v>
      </c>
      <c r="B1" s="21"/>
      <c r="C1" s="21"/>
      <c r="D1" s="21"/>
      <c r="E1" s="21"/>
      <c r="F1" s="21"/>
      <c r="G1" s="21"/>
      <c r="H1" s="21"/>
      <c r="I1" s="21"/>
    </row>
    <row r="3" ht="21.75" customHeight="1" spans="1:9">
      <c r="A3" s="8" t="s">
        <v>337</v>
      </c>
      <c r="B3" s="8"/>
      <c r="C3" s="8"/>
      <c r="D3" s="8"/>
      <c r="E3" s="8"/>
      <c r="F3" s="8"/>
      <c r="G3" s="8"/>
      <c r="H3" s="8"/>
      <c r="I3" s="8"/>
    </row>
    <row r="4" ht="21.75" customHeight="1" spans="1:9">
      <c r="A4" s="50" t="s">
        <v>338</v>
      </c>
      <c r="B4" s="26" t="s">
        <v>339</v>
      </c>
      <c r="C4" s="50" t="s">
        <v>340</v>
      </c>
      <c r="D4" s="27" t="s">
        <v>341</v>
      </c>
      <c r="E4" s="59" t="s">
        <v>342</v>
      </c>
      <c r="F4" s="49" t="s">
        <v>343</v>
      </c>
      <c r="G4" s="60" t="s">
        <v>344</v>
      </c>
      <c r="H4" s="50" t="s">
        <v>345</v>
      </c>
    </row>
    <row r="5" ht="21.75" customHeight="1" spans="1:9">
      <c r="A5" s="29" t="s">
        <v>346</v>
      </c>
      <c r="B5" s="215">
        <v>10000</v>
      </c>
      <c r="C5" s="182">
        <v>7500</v>
      </c>
      <c r="D5" s="216">
        <f>IFERROR(C5/B5,0)</f>
        <v>0.75</v>
      </c>
      <c r="E5" s="217">
        <v>500</v>
      </c>
      <c r="F5" s="123">
        <f>IFERROR(CEILING((B5-C5)/E5,1),0)</f>
        <v>5</v>
      </c>
      <c r="G5" s="124" t="s">
        <v>234</v>
      </c>
      <c r="H5" s="218" t="str">
        <f>REPT("█",ROUND(D5*10,0))&amp;REPT("░",10-ROUND(D5*10,0))</f>
        <v>████████░░</v>
      </c>
    </row>
    <row r="6" ht="21.75" customHeight="1" spans="1:9">
      <c r="A6" s="34" t="s">
        <v>347</v>
      </c>
      <c r="B6" s="219">
        <v>5000</v>
      </c>
      <c r="C6" s="183">
        <v>1200</v>
      </c>
      <c r="D6" s="220">
        <f>IFERROR(C6/B6,0)</f>
        <v>0.24</v>
      </c>
      <c r="E6" s="221">
        <v>300</v>
      </c>
      <c r="F6" s="120">
        <f>IFERROR(CEILING((B6-C6)/E6,1),0)</f>
        <v>13</v>
      </c>
      <c r="G6" s="121" t="s">
        <v>348</v>
      </c>
      <c r="H6" s="222" t="str">
        <f>REPT("█",ROUND(D6*10,0))&amp;REPT("░",10-ROUND(D6*10,0))</f>
        <v>██░░░░░░░░</v>
      </c>
    </row>
    <row r="7" ht="21.75" customHeight="1" spans="1:9">
      <c r="A7" s="29" t="s">
        <v>349</v>
      </c>
      <c r="B7" s="215">
        <v>3000</v>
      </c>
      <c r="C7" s="182">
        <v>1800</v>
      </c>
      <c r="D7" s="216">
        <f>IFERROR(C7/B7,0)</f>
        <v>0.6</v>
      </c>
      <c r="E7" s="217">
        <v>250</v>
      </c>
      <c r="F7" s="123">
        <f>IFERROR(CEILING((B7-C7)/E7,1),0)</f>
        <v>5</v>
      </c>
      <c r="G7" s="124" t="s">
        <v>227</v>
      </c>
      <c r="H7" s="218" t="str">
        <f>REPT("█",ROUND(D7*10,0))&amp;REPT("░",10-ROUND(D7*10,0))</f>
        <v>██████░░░░</v>
      </c>
    </row>
    <row r="8" ht="21.75" customHeight="1" spans="1:9">
      <c r="A8" s="34" t="s">
        <v>350</v>
      </c>
      <c r="B8" s="219">
        <v>50000</v>
      </c>
      <c r="C8" s="183">
        <v>12000</v>
      </c>
      <c r="D8" s="220">
        <f>IFERROR(C8/B8,0)</f>
        <v>0.24</v>
      </c>
      <c r="E8" s="221">
        <v>1000</v>
      </c>
      <c r="F8" s="120">
        <f>IFERROR(CEILING((B8-C8)/E8,1),0)</f>
        <v>38</v>
      </c>
      <c r="G8" s="121" t="s">
        <v>351</v>
      </c>
      <c r="H8" s="222" t="str">
        <f>REPT("█",ROUND(D8*10,0))&amp;REPT("░",10-ROUND(D8*10,0))</f>
        <v>██░░░░░░░░</v>
      </c>
    </row>
    <row r="9" ht="21.75" customHeight="1" spans="1:9">
      <c r="A9" s="29" t="s">
        <v>352</v>
      </c>
      <c r="B9" s="215">
        <v>15000</v>
      </c>
      <c r="C9" s="182">
        <v>4500</v>
      </c>
      <c r="D9" s="216">
        <f>IFERROR(C9/B9,0)</f>
        <v>0.3</v>
      </c>
      <c r="E9" s="217">
        <v>600</v>
      </c>
      <c r="F9" s="123">
        <f>IFERROR(CEILING((B9-C9)/E9,1),0)</f>
        <v>18</v>
      </c>
      <c r="G9" s="124" t="s">
        <v>353</v>
      </c>
      <c r="H9" s="218" t="str">
        <f>REPT("█",ROUND(D9*10,0))&amp;REPT("░",10-ROUND(D9*10,0))</f>
        <v>███░░░░░░░</v>
      </c>
    </row>
    <row r="12" ht="21.75" customHeight="1" spans="1:9">
      <c r="A12" s="223" t="s">
        <v>354</v>
      </c>
      <c r="B12" s="223"/>
      <c r="C12" s="223"/>
      <c r="D12" s="223"/>
      <c r="E12" s="223"/>
      <c r="F12" s="223"/>
      <c r="G12" s="223"/>
      <c r="H12" s="223"/>
      <c r="I12" s="223"/>
    </row>
    <row r="13" ht="21.75" customHeight="1" spans="1:9">
      <c r="A13" s="28" t="s">
        <v>355</v>
      </c>
      <c r="B13" s="60" t="s">
        <v>356</v>
      </c>
      <c r="C13" s="28" t="s">
        <v>357</v>
      </c>
      <c r="D13" s="26" t="s">
        <v>358</v>
      </c>
      <c r="E13" s="49" t="s">
        <v>359</v>
      </c>
      <c r="F13" s="50" t="s">
        <v>360</v>
      </c>
      <c r="G13" s="24" t="s">
        <v>361</v>
      </c>
      <c r="H13" s="27" t="s">
        <v>362</v>
      </c>
    </row>
    <row r="14" ht="21.75" customHeight="1" spans="1:9">
      <c r="A14" s="29" t="s">
        <v>363</v>
      </c>
      <c r="B14" s="213">
        <v>3000</v>
      </c>
      <c r="C14" s="185">
        <v>1250</v>
      </c>
      <c r="D14" s="224">
        <v>0.2199</v>
      </c>
      <c r="E14" s="217">
        <v>35</v>
      </c>
      <c r="F14" s="217">
        <v>100</v>
      </c>
      <c r="G14" s="225">
        <f>E14+F14</f>
        <v>135</v>
      </c>
      <c r="H14" s="226">
        <f ca="1">IFERROR(EDATE(TODAY(),CEILING(C14/(G14*(1+D14/12)),1)),"N/A")</f>
        <v>46515</v>
      </c>
    </row>
    <row r="15" ht="21.75" customHeight="1" spans="1:9">
      <c r="A15" s="34" t="s">
        <v>364</v>
      </c>
      <c r="B15" s="212">
        <v>25000</v>
      </c>
      <c r="C15" s="186">
        <v>18000</v>
      </c>
      <c r="D15" s="227">
        <v>0.065</v>
      </c>
      <c r="E15" s="221">
        <v>180</v>
      </c>
      <c r="F15" s="221">
        <v>50</v>
      </c>
      <c r="G15" s="228">
        <f>E15+F15</f>
        <v>230</v>
      </c>
      <c r="H15" s="229">
        <f ca="1">IFERROR(EDATE(TODAY(),CEILING(C15/(G15*(1+D15/12)),1)),"N/A")</f>
        <v>48587</v>
      </c>
    </row>
    <row r="16" ht="21.75" customHeight="1" spans="1:9">
      <c r="A16" s="29" t="s">
        <v>365</v>
      </c>
      <c r="B16" s="213">
        <v>15000</v>
      </c>
      <c r="C16" s="185">
        <v>8500</v>
      </c>
      <c r="D16" s="224">
        <v>0.049</v>
      </c>
      <c r="E16" s="217">
        <v>280</v>
      </c>
      <c r="F16" s="217">
        <v>0</v>
      </c>
      <c r="G16" s="225">
        <f>E16+F16</f>
        <v>280</v>
      </c>
      <c r="H16" s="226">
        <f ca="1">IFERROR(EDATE(TODAY(),CEILING(C16/(G16*(1+D16/12)),1)),"N/A")</f>
        <v>47157</v>
      </c>
    </row>
    <row r="17" ht="21.75" customHeight="1" spans="1:3">
      <c r="A17" s="72" t="s">
        <v>366</v>
      </c>
      <c r="B17" s="72"/>
      <c r="C17" s="230">
        <f>SUM(C14:C16)</f>
        <v>27750</v>
      </c>
    </row>
  </sheetData>
  <mergeCells count="4">
    <mergeCell ref="A1:I1"/>
    <mergeCell ref="A3:I3"/>
    <mergeCell ref="A12:I12"/>
    <mergeCell ref="A17:B17"/>
  </mergeCells>
  <pageMargins left="0.25" right="0.25" top="0.4" bottom="0.4" header="0.511811023622047" footer="0.511811023622047"/>
  <pageSetup paperSize="1" fitToHeight="0" orientation="landscape" horizontalDpi="300" verticalDpi="30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D9488"/>
    <pageSetUpPr fitToPage="1"/>
  </sheetPr>
  <dimension ref="A1:I27"/>
  <sheetViews>
    <sheetView showGridLines="0" zoomScale="90" zoomScaleNormal="90" workbookViewId="0">
      <pane ySplit="3" topLeftCell="A4" activePane="bottomLeft" state="frozen"/>
      <selection/>
      <selection pane="bottomLeft" activeCell="A1" sqref="A1:I1"/>
    </sheetView>
  </sheetViews>
  <sheetFormatPr defaultColWidth="8.68181818181818" defaultRowHeight="14.5"/>
  <cols>
    <col min="1" max="1" width="9" customWidth="1"/>
    <col min="2" max="2" width="12" customWidth="1"/>
    <col min="3" max="4" width="10" customWidth="1"/>
    <col min="5" max="6" width="12" customWidth="1"/>
    <col min="7" max="7" width="14" customWidth="1"/>
    <col min="8" max="9" width="12" customWidth="1"/>
  </cols>
  <sheetData>
    <row r="1" ht="31.5" customHeight="1" spans="1:9">
      <c r="A1" s="172" t="s">
        <v>367</v>
      </c>
      <c r="B1" s="172"/>
      <c r="C1" s="172"/>
      <c r="D1" s="172"/>
      <c r="E1" s="172"/>
      <c r="F1" s="172"/>
      <c r="G1" s="172"/>
      <c r="H1" s="172"/>
      <c r="I1" s="172"/>
    </row>
    <row r="2" ht="15.75" customHeight="1" spans="1:9">
      <c r="A2" s="22" t="s">
        <v>368</v>
      </c>
      <c r="B2" s="22"/>
      <c r="C2" s="22"/>
      <c r="D2" s="22"/>
      <c r="E2" s="22"/>
      <c r="F2" s="22"/>
      <c r="G2" s="22"/>
      <c r="H2" s="22"/>
      <c r="I2" s="22"/>
    </row>
    <row r="3" ht="21.75" customHeight="1" spans="1:9">
      <c r="A3" s="27" t="s">
        <v>369</v>
      </c>
      <c r="B3" s="27" t="s">
        <v>370</v>
      </c>
      <c r="C3" s="27" t="s">
        <v>371</v>
      </c>
      <c r="D3" s="27" t="s">
        <v>372</v>
      </c>
      <c r="E3" s="27" t="s">
        <v>373</v>
      </c>
      <c r="F3" s="27" t="s">
        <v>374</v>
      </c>
      <c r="G3" s="27" t="s">
        <v>375</v>
      </c>
      <c r="H3" s="27" t="s">
        <v>376</v>
      </c>
      <c r="I3" s="27" t="s">
        <v>377</v>
      </c>
    </row>
    <row r="4" ht="19.5" customHeight="1" spans="1:9">
      <c r="A4" s="14" t="s">
        <v>378</v>
      </c>
      <c r="B4" s="199" t="s">
        <v>379</v>
      </c>
      <c r="C4" s="123">
        <v>10</v>
      </c>
      <c r="D4" s="200">
        <v>145</v>
      </c>
      <c r="E4" s="201">
        <v>182.5</v>
      </c>
      <c r="F4" s="202">
        <f t="shared" ref="F4:F9" si="0">C4*E4</f>
        <v>1825</v>
      </c>
      <c r="G4" s="67">
        <f t="shared" ref="G4:G9" si="1">(E4-D4)*C4</f>
        <v>375</v>
      </c>
      <c r="H4" s="203">
        <f t="shared" ref="H4:H9" si="2">IFERROR((E4-D4)/D4,0)</f>
        <v>0.258620689655172</v>
      </c>
      <c r="I4" s="31">
        <f>IFERROR(F4/SUM(F4:F9),0)</f>
        <v>0.177788602045787</v>
      </c>
    </row>
    <row r="5" ht="19.5" customHeight="1" spans="1:9">
      <c r="A5" s="15" t="s">
        <v>380</v>
      </c>
      <c r="B5" s="71" t="s">
        <v>381</v>
      </c>
      <c r="C5" s="120">
        <v>5</v>
      </c>
      <c r="D5" s="204">
        <v>380</v>
      </c>
      <c r="E5" s="205">
        <v>425</v>
      </c>
      <c r="F5" s="206">
        <f t="shared" si="0"/>
        <v>2125</v>
      </c>
      <c r="G5" s="69">
        <f t="shared" si="1"/>
        <v>225</v>
      </c>
      <c r="H5" s="207">
        <f t="shared" si="2"/>
        <v>0.118421052631579</v>
      </c>
      <c r="I5" s="36">
        <f>IFERROR(F5/SUM(F4:F9),0)</f>
        <v>0.207014125669752</v>
      </c>
    </row>
    <row r="6" ht="19.5" customHeight="1" spans="1:9">
      <c r="A6" s="14" t="s">
        <v>382</v>
      </c>
      <c r="B6" s="199" t="s">
        <v>381</v>
      </c>
      <c r="C6" s="123">
        <v>20</v>
      </c>
      <c r="D6" s="200">
        <v>72</v>
      </c>
      <c r="E6" s="201">
        <v>74.5</v>
      </c>
      <c r="F6" s="202">
        <f t="shared" si="0"/>
        <v>1490</v>
      </c>
      <c r="G6" s="67">
        <f t="shared" si="1"/>
        <v>50</v>
      </c>
      <c r="H6" s="203">
        <f t="shared" si="2"/>
        <v>0.0347222222222222</v>
      </c>
      <c r="I6" s="31">
        <f>IFERROR(F6/SUM(F4:F9),0)</f>
        <v>0.145153433999026</v>
      </c>
    </row>
    <row r="7" ht="19.5" customHeight="1" spans="1:9">
      <c r="A7" s="15" t="s">
        <v>383</v>
      </c>
      <c r="B7" s="71" t="s">
        <v>379</v>
      </c>
      <c r="C7" s="120">
        <v>8</v>
      </c>
      <c r="D7" s="204">
        <v>250</v>
      </c>
      <c r="E7" s="205">
        <v>380</v>
      </c>
      <c r="F7" s="206">
        <f t="shared" si="0"/>
        <v>3040</v>
      </c>
      <c r="G7" s="69">
        <f t="shared" si="1"/>
        <v>1040</v>
      </c>
      <c r="H7" s="207">
        <f t="shared" si="2"/>
        <v>0.52</v>
      </c>
      <c r="I7" s="36">
        <f>IFERROR(F7/SUM(F4:F9),0)</f>
        <v>0.296151972722845</v>
      </c>
    </row>
    <row r="8" ht="19.5" customHeight="1" spans="1:9">
      <c r="A8" s="14" t="s">
        <v>384</v>
      </c>
      <c r="B8" s="199" t="s">
        <v>379</v>
      </c>
      <c r="C8" s="123">
        <v>3</v>
      </c>
      <c r="D8" s="200">
        <v>120</v>
      </c>
      <c r="E8" s="201">
        <v>155</v>
      </c>
      <c r="F8" s="202">
        <f t="shared" si="0"/>
        <v>465</v>
      </c>
      <c r="G8" s="67">
        <f t="shared" si="1"/>
        <v>105</v>
      </c>
      <c r="H8" s="203">
        <f t="shared" si="2"/>
        <v>0.291666666666667</v>
      </c>
      <c r="I8" s="31">
        <f>IFERROR(F8/SUM(F4:F9),0)</f>
        <v>0.0452995616171456</v>
      </c>
    </row>
    <row r="9" ht="19.5" customHeight="1" spans="1:9">
      <c r="A9" s="15" t="s">
        <v>385</v>
      </c>
      <c r="B9" s="71" t="s">
        <v>381</v>
      </c>
      <c r="C9" s="120">
        <v>15</v>
      </c>
      <c r="D9" s="204">
        <v>82</v>
      </c>
      <c r="E9" s="205">
        <v>88</v>
      </c>
      <c r="F9" s="206">
        <f t="shared" si="0"/>
        <v>1320</v>
      </c>
      <c r="G9" s="69">
        <f t="shared" si="1"/>
        <v>90</v>
      </c>
      <c r="H9" s="207">
        <f t="shared" si="2"/>
        <v>0.0731707317073171</v>
      </c>
      <c r="I9" s="36">
        <f>IFERROR(F9/SUM(F4:F9),0)</f>
        <v>0.128592303945446</v>
      </c>
    </row>
    <row r="10" ht="24" customHeight="1" spans="1:9">
      <c r="A10" s="72" t="s">
        <v>386</v>
      </c>
      <c r="B10" s="72"/>
      <c r="C10" s="72"/>
      <c r="D10" s="72"/>
      <c r="E10" s="72"/>
      <c r="F10" s="208">
        <f>SUM(F4:F9)</f>
        <v>10265</v>
      </c>
      <c r="G10" s="208">
        <f>SUM(G4:G9)</f>
        <v>1885</v>
      </c>
    </row>
    <row r="12" ht="21.75" customHeight="1" spans="1:9">
      <c r="A12" s="16" t="s">
        <v>387</v>
      </c>
      <c r="B12" s="16"/>
      <c r="C12" s="16"/>
      <c r="D12" s="16"/>
      <c r="E12" s="16"/>
      <c r="F12" s="16"/>
      <c r="G12" s="16"/>
      <c r="H12" s="16"/>
      <c r="I12" s="16"/>
    </row>
    <row r="13" spans="1:9">
      <c r="A13" s="209" t="s">
        <v>388</v>
      </c>
      <c r="C13" s="210">
        <f>F10</f>
        <v>10265</v>
      </c>
    </row>
    <row r="14" spans="1:9">
      <c r="A14" s="209" t="s">
        <v>389</v>
      </c>
      <c r="C14" s="210">
        <v>500</v>
      </c>
    </row>
    <row r="15" spans="1:9">
      <c r="A15" s="209" t="s">
        <v>390</v>
      </c>
      <c r="C15" s="211">
        <v>0.07</v>
      </c>
    </row>
    <row r="17" spans="1:4">
      <c r="A17" s="24" t="s">
        <v>391</v>
      </c>
      <c r="B17" s="60" t="s">
        <v>392</v>
      </c>
      <c r="C17" s="27" t="s">
        <v>393</v>
      </c>
      <c r="D17" s="50" t="s">
        <v>394</v>
      </c>
    </row>
    <row r="18" ht="18" customHeight="1" spans="1:4">
      <c r="A18" s="34" t="s">
        <v>395</v>
      </c>
      <c r="B18" s="212">
        <f>FV(0.05/12,1*12,-C14,-C13)</f>
        <v>16929.6046275639</v>
      </c>
      <c r="C18" s="210">
        <f>FV(0.07/12,1*12,-C14,-C13)</f>
        <v>17203.3503248095</v>
      </c>
      <c r="D18" s="194">
        <f>FV(0.1/12,1*12,-C14,-C13)</f>
        <v>17622.6636837627</v>
      </c>
    </row>
    <row r="19" ht="18" customHeight="1" spans="1:4">
      <c r="A19" s="29" t="s">
        <v>396</v>
      </c>
      <c r="B19" s="213">
        <f>FV(0.05/12,2*12,-C14,-C13)</f>
        <v>23935.1830765054</v>
      </c>
      <c r="C19" s="214">
        <f>FV(0.07/12,2*12,-C14,-C13)</f>
        <v>24643.2745556083</v>
      </c>
      <c r="D19" s="191">
        <f>FV(0.1/12,2*12,-C14,-C13)</f>
        <v>25750.7709010537</v>
      </c>
    </row>
    <row r="20" ht="18" customHeight="1" spans="1:4">
      <c r="A20" s="34" t="s">
        <v>397</v>
      </c>
      <c r="B20" s="212">
        <f>FV(0.05/12,3*12,-C14,-C13)</f>
        <v>31299.1802146542</v>
      </c>
      <c r="C20" s="210">
        <f>FV(0.07/12,3*12,-C14,-C13)</f>
        <v>32621.0315106159</v>
      </c>
      <c r="D20" s="194">
        <f>FV(0.1/12,3*12,-C14,-C13)</f>
        <v>34729.9971575589</v>
      </c>
    </row>
    <row r="21" ht="18" customHeight="1" spans="1:4">
      <c r="A21" s="29" t="s">
        <v>398</v>
      </c>
      <c r="B21" s="213">
        <f>FV(0.05/12,4*12,-C14,-C13)</f>
        <v>39039.9334223862</v>
      </c>
      <c r="C21" s="214">
        <f>FV(0.07/12,4*12,-C14,-C13)</f>
        <v>41175.5011609524</v>
      </c>
      <c r="D21" s="191">
        <f>FV(0.1/12,4*12,-C14,-C13)</f>
        <v>44649.4657386322</v>
      </c>
    </row>
    <row r="22" ht="18" customHeight="1" spans="1:4">
      <c r="A22" s="34" t="s">
        <v>399</v>
      </c>
      <c r="B22" s="212">
        <f>FV(0.05/12,5*12,-C14,-C13)</f>
        <v>47176.71825526</v>
      </c>
      <c r="C22" s="210">
        <f>FV(0.07/12,5*12,-C14,-C13)</f>
        <v>50348.3741139939</v>
      </c>
      <c r="D22" s="194">
        <f>FV(0.1/12,5*12,-C14,-C13)</f>
        <v>55607.6323022173</v>
      </c>
    </row>
    <row r="23" ht="18" customHeight="1" spans="1:4">
      <c r="A23" s="29" t="s">
        <v>400</v>
      </c>
      <c r="B23" s="213">
        <f>FV(0.05/12,6*12,-C14,-C13)</f>
        <v>55729.7964428388</v>
      </c>
      <c r="C23" s="214">
        <f>FV(0.07/12,6*12,-C14,-C13)</f>
        <v>60184.3547944948</v>
      </c>
      <c r="D23" s="191">
        <f>FV(0.1/12,6*12,-C14,-C13)</f>
        <v>67713.262100208</v>
      </c>
    </row>
    <row r="24" ht="18" customHeight="1" spans="1:4">
      <c r="A24" s="34" t="s">
        <v>401</v>
      </c>
      <c r="B24" s="212">
        <f>FV(0.05/12,7*12,-C14,-C13)</f>
        <v>64720.4663432251</v>
      </c>
      <c r="C24" s="210">
        <f>FV(0.07/12,7*12,-C14,-C13)</f>
        <v>70731.3793136894</v>
      </c>
      <c r="D24" s="194">
        <f>FV(0.1/12,7*12,-C14,-C13)</f>
        <v>81086.5095276552</v>
      </c>
    </row>
    <row r="25" ht="18" customHeight="1" spans="1:4">
      <c r="A25" s="29" t="s">
        <v>402</v>
      </c>
      <c r="B25" s="213">
        <f>FV(0.05/12,8*12,-C14,-C13)</f>
        <v>74171.1159789433</v>
      </c>
      <c r="C25" s="214">
        <f>FV(0.07/12,8*12,-C14,-C13)</f>
        <v>82040.8490881693</v>
      </c>
      <c r="D25" s="191">
        <f>FV(0.1/12,8*12,-C14,-C13)</f>
        <v>95860.1107148817</v>
      </c>
    </row>
    <row r="26" ht="18" customHeight="1" spans="1:4">
      <c r="A26" s="34" t="s">
        <v>403</v>
      </c>
      <c r="B26" s="212">
        <f>FV(0.05/12,9*12,-C14,-C13)</f>
        <v>84105.2787862401</v>
      </c>
      <c r="C26" s="210">
        <f>FV(0.07/12,9*12,-C14,-C13)</f>
        <v>94167.8813470876</v>
      </c>
      <c r="D26" s="194">
        <f>FV(0.1/12,9*12,-C14,-C13)</f>
        <v>112180.700999577</v>
      </c>
    </row>
    <row r="27" ht="18" customHeight="1" spans="1:4">
      <c r="A27" s="29" t="s">
        <v>404</v>
      </c>
      <c r="B27" s="213">
        <f>FV(0.05/12,10*12,-C14,-C13)</f>
        <v>94547.6922166243</v>
      </c>
      <c r="C27" s="214">
        <f>FV(0.07/12,10*12,-C14,-C13)</f>
        <v>107171.577748549</v>
      </c>
      <c r="D27" s="191">
        <f>FV(0.1/12,10*12,-C14,-C13)</f>
        <v>130210.270355436</v>
      </c>
    </row>
  </sheetData>
  <mergeCells count="4">
    <mergeCell ref="A1:I1"/>
    <mergeCell ref="A2:I2"/>
    <mergeCell ref="A10:E10"/>
    <mergeCell ref="A12:I12"/>
  </mergeCells>
  <pageMargins left="0.25" right="0.25" top="0.4" bottom="0.4" header="0.511811023622047" footer="0.511811023622047"/>
  <pageSetup paperSize="1" fitToHeight="0" orientation="landscape" horizontalDpi="300" verticalDpi="300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E3A5F"/>
    <pageSetUpPr fitToPage="1"/>
  </sheetPr>
  <dimension ref="A1:E25"/>
  <sheetViews>
    <sheetView showGridLines="0" zoomScale="90" zoomScaleNormal="90" workbookViewId="0">
      <pane ySplit="4" topLeftCell="A5" activePane="bottomLeft" state="frozen"/>
      <selection/>
      <selection pane="bottomLeft" activeCell="A1" sqref="A1:E1"/>
    </sheetView>
  </sheetViews>
  <sheetFormatPr defaultColWidth="8.68181818181818" defaultRowHeight="14.5" outlineLevelCol="4"/>
  <cols>
    <col min="1" max="1" width="26" customWidth="1"/>
    <col min="2" max="2" width="13" customWidth="1"/>
    <col min="3" max="3" width="18" customWidth="1"/>
    <col min="4" max="4" width="16" customWidth="1"/>
    <col min="5" max="5" width="14" customWidth="1"/>
  </cols>
  <sheetData>
    <row r="1" ht="31.5" customHeight="1" spans="1:5">
      <c r="A1" s="1" t="s">
        <v>405</v>
      </c>
      <c r="B1" s="1"/>
      <c r="C1" s="1"/>
      <c r="D1" s="1"/>
      <c r="E1" s="1"/>
    </row>
    <row r="3" ht="21.75" customHeight="1" spans="1:5">
      <c r="A3" s="2" t="s">
        <v>406</v>
      </c>
      <c r="B3" s="2"/>
      <c r="C3" s="2"/>
      <c r="D3" s="2"/>
      <c r="E3" s="2"/>
    </row>
    <row r="4" ht="21.75" customHeight="1" spans="1:5">
      <c r="A4" s="24" t="s">
        <v>407</v>
      </c>
      <c r="B4" s="27" t="s">
        <v>186</v>
      </c>
      <c r="C4" s="50" t="s">
        <v>408</v>
      </c>
      <c r="D4" s="59" t="s">
        <v>370</v>
      </c>
    </row>
    <row r="5" ht="18" customHeight="1" spans="1:5">
      <c r="A5" s="29" t="s">
        <v>193</v>
      </c>
      <c r="B5" s="32" t="s">
        <v>409</v>
      </c>
      <c r="C5" s="182">
        <v>3250</v>
      </c>
      <c r="D5" s="181" t="s">
        <v>410</v>
      </c>
    </row>
    <row r="6" ht="18" customHeight="1" spans="1:5">
      <c r="A6" s="34" t="s">
        <v>411</v>
      </c>
      <c r="B6" s="37" t="s">
        <v>409</v>
      </c>
      <c r="C6" s="183">
        <v>12500</v>
      </c>
      <c r="D6" s="184" t="s">
        <v>410</v>
      </c>
    </row>
    <row r="7" ht="18" customHeight="1" spans="1:5">
      <c r="A7" s="29" t="s">
        <v>412</v>
      </c>
      <c r="B7" s="32" t="s">
        <v>118</v>
      </c>
      <c r="C7" s="182">
        <v>28000</v>
      </c>
      <c r="D7" s="181" t="s">
        <v>410</v>
      </c>
    </row>
    <row r="8" ht="18" customHeight="1" spans="1:5">
      <c r="A8" s="34" t="s">
        <v>413</v>
      </c>
      <c r="B8" s="37" t="s">
        <v>414</v>
      </c>
      <c r="C8" s="183">
        <v>15000</v>
      </c>
      <c r="D8" s="184" t="s">
        <v>410</v>
      </c>
    </row>
    <row r="9" ht="18" customHeight="1" spans="1:5">
      <c r="A9" s="29" t="s">
        <v>415</v>
      </c>
      <c r="B9" s="32" t="s">
        <v>416</v>
      </c>
      <c r="C9" s="182">
        <v>12000</v>
      </c>
      <c r="D9" s="181" t="s">
        <v>410</v>
      </c>
    </row>
    <row r="10" ht="18" customHeight="1" spans="1:5">
      <c r="A10" s="34" t="s">
        <v>417</v>
      </c>
      <c r="B10" s="37" t="s">
        <v>146</v>
      </c>
      <c r="C10" s="183">
        <v>2500</v>
      </c>
      <c r="D10" s="184" t="s">
        <v>410</v>
      </c>
    </row>
    <row r="11" ht="18" customHeight="1" spans="1:5">
      <c r="A11" s="29" t="s">
        <v>363</v>
      </c>
      <c r="B11" s="32" t="s">
        <v>253</v>
      </c>
      <c r="C11" s="185">
        <v>-1250</v>
      </c>
      <c r="D11" s="68" t="s">
        <v>418</v>
      </c>
    </row>
    <row r="12" ht="18" customHeight="1" spans="1:5">
      <c r="A12" s="34" t="s">
        <v>419</v>
      </c>
      <c r="B12" s="37" t="s">
        <v>419</v>
      </c>
      <c r="C12" s="186">
        <v>-18000</v>
      </c>
      <c r="D12" s="70" t="s">
        <v>418</v>
      </c>
    </row>
    <row r="13" ht="18" customHeight="1" spans="1:5">
      <c r="A13" s="29" t="s">
        <v>420</v>
      </c>
      <c r="B13" s="32" t="s">
        <v>420</v>
      </c>
      <c r="C13" s="185">
        <v>-8500</v>
      </c>
      <c r="D13" s="68" t="s">
        <v>418</v>
      </c>
    </row>
    <row r="14" ht="25.5" customHeight="1" spans="1:5">
      <c r="A14" s="187" t="s">
        <v>421</v>
      </c>
      <c r="C14" s="188">
        <f>SUMIF(D5:D13,"Asset",C5:C13)</f>
        <v>73250</v>
      </c>
    </row>
    <row r="15" ht="25.5" customHeight="1" spans="1:5">
      <c r="A15" s="187" t="s">
        <v>422</v>
      </c>
      <c r="C15" s="189">
        <f>SUMIF(D5:D13,"Liability",C5:C13)</f>
        <v>-27750</v>
      </c>
    </row>
    <row r="16" ht="25.5" customHeight="1" spans="1:5">
      <c r="A16" s="187" t="s">
        <v>423</v>
      </c>
      <c r="C16" s="190">
        <f>C14+C15</f>
        <v>45500</v>
      </c>
    </row>
    <row r="18" ht="21.75" customHeight="1" spans="1:5">
      <c r="A18" s="16" t="s">
        <v>424</v>
      </c>
      <c r="B18" s="16"/>
      <c r="C18" s="16"/>
      <c r="D18" s="16"/>
      <c r="E18" s="16"/>
    </row>
    <row r="19" spans="1:5">
      <c r="A19" s="24" t="s">
        <v>171</v>
      </c>
      <c r="B19" s="50" t="s">
        <v>425</v>
      </c>
      <c r="C19" s="28" t="s">
        <v>426</v>
      </c>
      <c r="D19" s="25" t="s">
        <v>174</v>
      </c>
      <c r="E19" s="27" t="s">
        <v>427</v>
      </c>
    </row>
    <row r="20" ht="18" customHeight="1" spans="1:5">
      <c r="A20" s="29" t="s">
        <v>175</v>
      </c>
      <c r="B20" s="191">
        <v>71750</v>
      </c>
      <c r="C20" s="192">
        <v>27750</v>
      </c>
      <c r="D20" s="193">
        <f t="shared" ref="D20:D25" si="0">B20+C20</f>
        <v>99500</v>
      </c>
      <c r="E20" s="123" t="s">
        <v>428</v>
      </c>
    </row>
    <row r="21" ht="18" customHeight="1" spans="1:5">
      <c r="A21" s="34" t="s">
        <v>176</v>
      </c>
      <c r="B21" s="194">
        <v>72500</v>
      </c>
      <c r="C21" s="195">
        <v>27500</v>
      </c>
      <c r="D21" s="196">
        <f t="shared" si="0"/>
        <v>100000</v>
      </c>
      <c r="E21" s="197">
        <f>D21-D20</f>
        <v>500</v>
      </c>
    </row>
    <row r="22" ht="18" customHeight="1" spans="1:5">
      <c r="A22" s="29" t="s">
        <v>177</v>
      </c>
      <c r="B22" s="191">
        <v>73800</v>
      </c>
      <c r="C22" s="192">
        <v>27200</v>
      </c>
      <c r="D22" s="193">
        <f t="shared" si="0"/>
        <v>101000</v>
      </c>
      <c r="E22" s="198">
        <f>D22-D21</f>
        <v>1000</v>
      </c>
    </row>
    <row r="23" ht="18" customHeight="1" spans="1:5">
      <c r="A23" s="34" t="s">
        <v>178</v>
      </c>
      <c r="B23" s="194">
        <v>75200</v>
      </c>
      <c r="C23" s="195">
        <v>26800</v>
      </c>
      <c r="D23" s="196">
        <f t="shared" si="0"/>
        <v>102000</v>
      </c>
      <c r="E23" s="197">
        <f>D23-D22</f>
        <v>1000</v>
      </c>
    </row>
    <row r="24" ht="18" customHeight="1" spans="1:5">
      <c r="A24" s="29" t="s">
        <v>179</v>
      </c>
      <c r="B24" s="191">
        <v>76900</v>
      </c>
      <c r="C24" s="192">
        <v>26400</v>
      </c>
      <c r="D24" s="193">
        <f t="shared" si="0"/>
        <v>103300</v>
      </c>
      <c r="E24" s="198">
        <f>D24-D23</f>
        <v>1300</v>
      </c>
    </row>
    <row r="25" ht="18" customHeight="1" spans="1:5">
      <c r="A25" s="34" t="s">
        <v>180</v>
      </c>
      <c r="B25" s="194">
        <v>78500</v>
      </c>
      <c r="C25" s="195">
        <v>26000</v>
      </c>
      <c r="D25" s="196">
        <f t="shared" si="0"/>
        <v>104500</v>
      </c>
      <c r="E25" s="197">
        <f>D25-D24</f>
        <v>1200</v>
      </c>
    </row>
  </sheetData>
  <mergeCells count="3">
    <mergeCell ref="A1:E1"/>
    <mergeCell ref="A3:E3"/>
    <mergeCell ref="A18:E18"/>
  </mergeCells>
  <pageMargins left="0.25" right="0.25" top="0.4" bottom="0.4" header="0.511811023622047" footer="0.511811023622047"/>
  <pageSetup paperSize="1" fitToHeight="0" orientation="landscape" horizontalDpi="300" verticalDpi="300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D9488"/>
    <pageSetUpPr fitToPage="1"/>
  </sheetPr>
  <dimension ref="A1:H16"/>
  <sheetViews>
    <sheetView showGridLines="0" zoomScale="90" zoomScaleNormal="90" workbookViewId="0">
      <pane ySplit="4" topLeftCell="A5" activePane="bottomLeft" state="frozen"/>
      <selection/>
      <selection pane="bottomLeft" activeCell="A1" sqref="A1:H1"/>
    </sheetView>
  </sheetViews>
  <sheetFormatPr defaultColWidth="8.68181818181818" defaultRowHeight="14.5" outlineLevelCol="7"/>
  <cols>
    <col min="1" max="1" width="4" customWidth="1"/>
    <col min="2" max="2" width="28" customWidth="1"/>
    <col min="3" max="3" width="18" customWidth="1"/>
    <col min="4" max="5" width="14" customWidth="1"/>
    <col min="6" max="6" width="12" customWidth="1"/>
    <col min="7" max="7" width="16" customWidth="1"/>
    <col min="8" max="8" width="28" customWidth="1"/>
  </cols>
  <sheetData>
    <row r="1" ht="31.5" customHeight="1" spans="1:8">
      <c r="A1" s="172" t="s">
        <v>429</v>
      </c>
      <c r="B1" s="172"/>
      <c r="C1" s="172"/>
      <c r="D1" s="172"/>
      <c r="E1" s="172"/>
      <c r="F1" s="172"/>
      <c r="G1" s="172"/>
      <c r="H1" s="172"/>
    </row>
    <row r="2" ht="15.75" customHeight="1" spans="1:8">
      <c r="A2" s="22" t="s">
        <v>430</v>
      </c>
      <c r="B2" s="22"/>
      <c r="C2" s="22"/>
      <c r="D2" s="22"/>
      <c r="E2" s="22"/>
      <c r="F2" s="22"/>
      <c r="G2" s="22"/>
      <c r="H2" s="22"/>
    </row>
    <row r="4" ht="21.75" customHeight="1" spans="1:8">
      <c r="A4" s="27" t="s">
        <v>183</v>
      </c>
      <c r="B4" s="27" t="s">
        <v>431</v>
      </c>
      <c r="C4" s="25" t="s">
        <v>186</v>
      </c>
      <c r="D4" s="60" t="s">
        <v>432</v>
      </c>
      <c r="E4" s="28" t="s">
        <v>344</v>
      </c>
      <c r="F4" s="50" t="s">
        <v>433</v>
      </c>
      <c r="G4" s="27" t="s">
        <v>313</v>
      </c>
      <c r="H4" s="24" t="s">
        <v>434</v>
      </c>
    </row>
    <row r="5" ht="21.75" customHeight="1" spans="1:8">
      <c r="A5" s="120">
        <v>1</v>
      </c>
      <c r="B5" s="34" t="s">
        <v>435</v>
      </c>
      <c r="C5" s="37" t="s">
        <v>96</v>
      </c>
      <c r="D5" s="121" t="s">
        <v>191</v>
      </c>
      <c r="E5" s="121" t="s">
        <v>234</v>
      </c>
      <c r="F5" s="173">
        <v>0.75</v>
      </c>
      <c r="G5" s="174" t="s">
        <v>108</v>
      </c>
      <c r="H5" s="7" t="s">
        <v>436</v>
      </c>
    </row>
    <row r="6" ht="21.75" customHeight="1" spans="1:8">
      <c r="A6" s="123">
        <v>2</v>
      </c>
      <c r="B6" s="29" t="s">
        <v>437</v>
      </c>
      <c r="C6" s="32" t="s">
        <v>104</v>
      </c>
      <c r="D6" s="124" t="s">
        <v>191</v>
      </c>
      <c r="E6" s="124" t="s">
        <v>438</v>
      </c>
      <c r="F6" s="175">
        <v>0.6</v>
      </c>
      <c r="G6" s="176" t="s">
        <v>108</v>
      </c>
      <c r="H6" s="5" t="s">
        <v>439</v>
      </c>
    </row>
    <row r="7" ht="21.75" customHeight="1" spans="1:8">
      <c r="A7" s="120">
        <v>3</v>
      </c>
      <c r="B7" s="34" t="s">
        <v>440</v>
      </c>
      <c r="C7" s="37" t="s">
        <v>119</v>
      </c>
      <c r="D7" s="121" t="s">
        <v>191</v>
      </c>
      <c r="E7" s="121" t="s">
        <v>441</v>
      </c>
      <c r="F7" s="177">
        <v>0.25</v>
      </c>
      <c r="G7" s="174" t="s">
        <v>108</v>
      </c>
      <c r="H7" s="7" t="s">
        <v>442</v>
      </c>
    </row>
    <row r="8" ht="21.75" customHeight="1" spans="1:8">
      <c r="A8" s="123">
        <v>4</v>
      </c>
      <c r="B8" s="29" t="s">
        <v>443</v>
      </c>
      <c r="C8" s="32" t="s">
        <v>112</v>
      </c>
      <c r="D8" s="124" t="s">
        <v>266</v>
      </c>
      <c r="E8" s="124" t="s">
        <v>444</v>
      </c>
      <c r="F8" s="175">
        <v>0.4</v>
      </c>
      <c r="G8" s="176" t="s">
        <v>108</v>
      </c>
      <c r="H8" s="5" t="s">
        <v>445</v>
      </c>
    </row>
    <row r="9" ht="21.75" customHeight="1" spans="1:8">
      <c r="A9" s="120">
        <v>5</v>
      </c>
      <c r="B9" s="34" t="s">
        <v>446</v>
      </c>
      <c r="C9" s="37" t="s">
        <v>138</v>
      </c>
      <c r="D9" s="121" t="s">
        <v>191</v>
      </c>
      <c r="E9" s="121" t="s">
        <v>441</v>
      </c>
      <c r="F9" s="177">
        <v>0.15</v>
      </c>
      <c r="G9" s="174" t="s">
        <v>108</v>
      </c>
      <c r="H9" s="7" t="s">
        <v>447</v>
      </c>
    </row>
    <row r="10" ht="21.75" customHeight="1" spans="1:8">
      <c r="A10" s="123">
        <v>6</v>
      </c>
      <c r="B10" s="29" t="s">
        <v>448</v>
      </c>
      <c r="C10" s="32" t="s">
        <v>112</v>
      </c>
      <c r="D10" s="124" t="s">
        <v>206</v>
      </c>
      <c r="E10" s="124" t="s">
        <v>449</v>
      </c>
      <c r="F10" s="178">
        <v>0.35</v>
      </c>
      <c r="G10" s="176" t="s">
        <v>108</v>
      </c>
      <c r="H10" s="5" t="s">
        <v>450</v>
      </c>
    </row>
    <row r="11" ht="21.75" customHeight="1" spans="1:8">
      <c r="A11" s="120">
        <v>7</v>
      </c>
      <c r="B11" s="34" t="s">
        <v>451</v>
      </c>
      <c r="C11" s="37" t="s">
        <v>135</v>
      </c>
      <c r="D11" s="121" t="s">
        <v>191</v>
      </c>
      <c r="E11" s="121" t="s">
        <v>452</v>
      </c>
      <c r="F11" s="179">
        <v>0.55</v>
      </c>
      <c r="G11" s="174" t="s">
        <v>108</v>
      </c>
      <c r="H11" s="7" t="s">
        <v>453</v>
      </c>
    </row>
    <row r="12" ht="21.75" customHeight="1" spans="1:8">
      <c r="A12" s="123">
        <v>8</v>
      </c>
      <c r="B12" s="29" t="s">
        <v>454</v>
      </c>
      <c r="C12" s="32" t="s">
        <v>104</v>
      </c>
      <c r="D12" s="124" t="s">
        <v>191</v>
      </c>
      <c r="E12" s="124" t="s">
        <v>455</v>
      </c>
      <c r="F12" s="175">
        <v>0.47</v>
      </c>
      <c r="G12" s="176" t="s">
        <v>108</v>
      </c>
      <c r="H12" s="5" t="s">
        <v>456</v>
      </c>
    </row>
    <row r="13" ht="21.75" customHeight="1" spans="1:8">
      <c r="A13" s="120">
        <v>9</v>
      </c>
      <c r="B13" s="34" t="s">
        <v>457</v>
      </c>
      <c r="C13" s="37" t="s">
        <v>96</v>
      </c>
      <c r="D13" s="121" t="s">
        <v>191</v>
      </c>
      <c r="E13" s="121" t="s">
        <v>348</v>
      </c>
      <c r="F13" s="179">
        <v>0.58</v>
      </c>
      <c r="G13" s="174" t="s">
        <v>108</v>
      </c>
      <c r="H13" s="7" t="s">
        <v>458</v>
      </c>
    </row>
    <row r="14" ht="21.75" customHeight="1" spans="1:8">
      <c r="A14" s="123">
        <v>10</v>
      </c>
      <c r="B14" s="29" t="s">
        <v>459</v>
      </c>
      <c r="C14" s="32" t="s">
        <v>119</v>
      </c>
      <c r="D14" s="124" t="s">
        <v>214</v>
      </c>
      <c r="E14" s="124" t="s">
        <v>460</v>
      </c>
      <c r="F14" s="180">
        <v>1</v>
      </c>
      <c r="G14" s="181" t="s">
        <v>115</v>
      </c>
      <c r="H14" s="5" t="s">
        <v>461</v>
      </c>
    </row>
    <row r="15" ht="21.75" customHeight="1" spans="1:8">
      <c r="A15" s="120">
        <v>11</v>
      </c>
      <c r="B15" s="34" t="s">
        <v>462</v>
      </c>
      <c r="C15" s="37" t="s">
        <v>96</v>
      </c>
      <c r="D15" s="121" t="s">
        <v>191</v>
      </c>
      <c r="E15" s="121" t="s">
        <v>441</v>
      </c>
      <c r="F15" s="177">
        <v>0.3</v>
      </c>
      <c r="G15" s="174" t="s">
        <v>108</v>
      </c>
      <c r="H15" s="7" t="s">
        <v>463</v>
      </c>
    </row>
    <row r="16" ht="21.75" customHeight="1" spans="1:8">
      <c r="A16" s="123">
        <v>12</v>
      </c>
      <c r="B16" s="29" t="s">
        <v>464</v>
      </c>
      <c r="C16" s="32" t="s">
        <v>138</v>
      </c>
      <c r="D16" s="124" t="s">
        <v>206</v>
      </c>
      <c r="E16" s="124" t="s">
        <v>455</v>
      </c>
      <c r="F16" s="175">
        <v>0.45</v>
      </c>
      <c r="G16" s="176" t="s">
        <v>108</v>
      </c>
      <c r="H16" s="5" t="s">
        <v>465</v>
      </c>
    </row>
  </sheetData>
  <mergeCells count="2">
    <mergeCell ref="A1:H1"/>
    <mergeCell ref="A2:H2"/>
  </mergeCells>
  <dataValidations count="2">
    <dataValidation type="list" showInputMessage="1" showErrorMessage="1" sqref="C5:C100">
      <formula1>SETUP!$D$4:$D$12</formula1>
    </dataValidation>
    <dataValidation type="list" showInputMessage="1" showErrorMessage="1" sqref="G5:G100">
      <formula1>SETUP!$H$4:$H$8</formula1>
    </dataValidation>
  </dataValidations>
  <pageMargins left="0.25" right="0.25" top="0.4" bottom="0.4" header="0.511811023622047" footer="0.511811023622047"/>
  <pageSetup paperSize="1" fitToHeight="0" orientation="landscape" horizontalDpi="300" verticalDpi="300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5A30D"/>
    <pageSetUpPr fitToPage="1"/>
  </sheetPr>
  <dimension ref="A1:AL19"/>
  <sheetViews>
    <sheetView showGridLines="0" zoomScale="90" zoomScaleNormal="90" workbookViewId="0">
      <pane xSplit="3" ySplit="3" topLeftCell="D4" activePane="bottomRight" state="frozen"/>
      <selection/>
      <selection pane="topRight"/>
      <selection pane="bottomLeft"/>
      <selection pane="bottomRight" activeCell="A1" sqref="A1:AL1"/>
    </sheetView>
  </sheetViews>
  <sheetFormatPr defaultColWidth="8.68181818181818" defaultRowHeight="14.5"/>
  <cols>
    <col min="1" max="2" width="3" customWidth="1"/>
    <col min="3" max="3" width="24" customWidth="1"/>
    <col min="4" max="35" width="3.2" customWidth="1"/>
    <col min="36" max="37" width="8" customWidth="1"/>
    <col min="38" max="38" width="10" customWidth="1"/>
  </cols>
  <sheetData>
    <row r="1" ht="31.5" customHeight="1" spans="1:38">
      <c r="A1" s="155" t="s">
        <v>466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</row>
    <row r="2" ht="15.75" customHeight="1" spans="1:38">
      <c r="A2" s="22" t="s">
        <v>467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</row>
    <row r="3" ht="19.5" customHeight="1" spans="1:38">
      <c r="C3" s="156" t="s">
        <v>468</v>
      </c>
      <c r="D3" s="157">
        <v>1</v>
      </c>
      <c r="E3" s="157">
        <v>2</v>
      </c>
      <c r="F3" s="157">
        <v>3</v>
      </c>
      <c r="G3" s="157">
        <v>4</v>
      </c>
      <c r="H3" s="157">
        <v>5</v>
      </c>
      <c r="I3" s="158">
        <v>6</v>
      </c>
      <c r="J3" s="158">
        <v>7</v>
      </c>
      <c r="K3" s="157">
        <v>8</v>
      </c>
      <c r="L3" s="157">
        <v>9</v>
      </c>
      <c r="M3" s="157">
        <v>10</v>
      </c>
      <c r="N3" s="157">
        <v>11</v>
      </c>
      <c r="O3" s="157">
        <v>12</v>
      </c>
      <c r="P3" s="158">
        <v>13</v>
      </c>
      <c r="Q3" s="158">
        <v>14</v>
      </c>
      <c r="R3" s="157">
        <v>15</v>
      </c>
      <c r="S3" s="157">
        <v>16</v>
      </c>
      <c r="T3" s="157">
        <v>17</v>
      </c>
      <c r="U3" s="157">
        <v>18</v>
      </c>
      <c r="V3" s="157">
        <v>19</v>
      </c>
      <c r="W3" s="158">
        <v>20</v>
      </c>
      <c r="X3" s="158">
        <v>21</v>
      </c>
      <c r="Y3" s="157">
        <v>22</v>
      </c>
      <c r="Z3" s="157">
        <v>23</v>
      </c>
      <c r="AA3" s="157">
        <v>24</v>
      </c>
      <c r="AB3" s="157">
        <v>25</v>
      </c>
      <c r="AC3" s="157">
        <v>26</v>
      </c>
      <c r="AD3" s="158">
        <v>27</v>
      </c>
      <c r="AE3" s="158">
        <v>28</v>
      </c>
      <c r="AF3" s="157">
        <v>29</v>
      </c>
      <c r="AG3" s="157">
        <v>30</v>
      </c>
      <c r="AH3" s="157">
        <v>31</v>
      </c>
      <c r="AJ3" s="159" t="s">
        <v>469</v>
      </c>
      <c r="AK3" s="159" t="s">
        <v>470</v>
      </c>
      <c r="AL3" s="159" t="s">
        <v>471</v>
      </c>
    </row>
    <row r="4" ht="18" customHeight="1" spans="1:38">
      <c r="C4" s="160" t="s">
        <v>472</v>
      </c>
      <c r="D4" s="161" t="s">
        <v>473</v>
      </c>
      <c r="E4" s="161" t="s">
        <v>473</v>
      </c>
      <c r="F4" s="162"/>
      <c r="G4" s="161" t="s">
        <v>473</v>
      </c>
      <c r="H4" s="161" t="s">
        <v>473</v>
      </c>
      <c r="I4" s="161" t="s">
        <v>473</v>
      </c>
      <c r="J4" s="162"/>
      <c r="K4" s="161" t="s">
        <v>473</v>
      </c>
      <c r="L4" s="161" t="s">
        <v>473</v>
      </c>
      <c r="M4" s="161" t="s">
        <v>473</v>
      </c>
      <c r="N4" s="162"/>
      <c r="O4" s="161" t="s">
        <v>473</v>
      </c>
      <c r="P4" s="161" t="s">
        <v>473</v>
      </c>
      <c r="Q4" s="161" t="s">
        <v>473</v>
      </c>
      <c r="R4" s="162"/>
      <c r="S4" s="161" t="s">
        <v>473</v>
      </c>
      <c r="T4" s="161" t="s">
        <v>473</v>
      </c>
      <c r="U4" s="161" t="s">
        <v>473</v>
      </c>
      <c r="V4" s="162"/>
      <c r="W4" s="161" t="s">
        <v>473</v>
      </c>
      <c r="X4" s="161" t="s">
        <v>473</v>
      </c>
      <c r="Y4" s="162"/>
      <c r="Z4" s="161" t="s">
        <v>473</v>
      </c>
      <c r="AA4" s="161" t="s">
        <v>473</v>
      </c>
      <c r="AB4" s="161" t="s">
        <v>473</v>
      </c>
      <c r="AC4" s="162"/>
      <c r="AD4" s="161" t="s">
        <v>473</v>
      </c>
      <c r="AE4" s="161" t="s">
        <v>473</v>
      </c>
      <c r="AF4" s="161" t="s">
        <v>473</v>
      </c>
      <c r="AG4" s="162"/>
      <c r="AH4" s="161" t="s">
        <v>473</v>
      </c>
      <c r="AJ4" s="163">
        <v>23</v>
      </c>
      <c r="AK4" s="164">
        <v>0.741935483870968</v>
      </c>
      <c r="AL4" s="165" t="s">
        <v>474</v>
      </c>
    </row>
    <row r="5" ht="18" customHeight="1" spans="1:38">
      <c r="C5" s="166" t="s">
        <v>475</v>
      </c>
      <c r="D5" s="161" t="s">
        <v>473</v>
      </c>
      <c r="E5" s="161" t="s">
        <v>473</v>
      </c>
      <c r="F5" s="161" t="s">
        <v>473</v>
      </c>
      <c r="G5" s="167"/>
      <c r="H5" s="161" t="s">
        <v>473</v>
      </c>
      <c r="I5" s="161" t="s">
        <v>473</v>
      </c>
      <c r="J5" s="161" t="s">
        <v>473</v>
      </c>
      <c r="K5" s="161" t="s">
        <v>473</v>
      </c>
      <c r="L5" s="167"/>
      <c r="M5" s="161" t="s">
        <v>473</v>
      </c>
      <c r="N5" s="161" t="s">
        <v>473</v>
      </c>
      <c r="O5" s="161" t="s">
        <v>473</v>
      </c>
      <c r="P5" s="167"/>
      <c r="Q5" s="161" t="s">
        <v>473</v>
      </c>
      <c r="R5" s="161" t="s">
        <v>473</v>
      </c>
      <c r="S5" s="161" t="s">
        <v>473</v>
      </c>
      <c r="T5" s="161" t="s">
        <v>473</v>
      </c>
      <c r="U5" s="167"/>
      <c r="V5" s="161" t="s">
        <v>473</v>
      </c>
      <c r="W5" s="161" t="s">
        <v>473</v>
      </c>
      <c r="X5" s="167"/>
      <c r="Y5" s="161" t="s">
        <v>473</v>
      </c>
      <c r="Z5" s="161" t="s">
        <v>473</v>
      </c>
      <c r="AA5" s="161" t="s">
        <v>473</v>
      </c>
      <c r="AB5" s="161" t="s">
        <v>473</v>
      </c>
      <c r="AC5" s="167"/>
      <c r="AD5" s="161" t="s">
        <v>473</v>
      </c>
      <c r="AE5" s="161" t="s">
        <v>473</v>
      </c>
      <c r="AF5" s="161" t="s">
        <v>473</v>
      </c>
      <c r="AG5" s="167"/>
      <c r="AH5" s="161" t="s">
        <v>473</v>
      </c>
      <c r="AJ5" s="168">
        <v>24</v>
      </c>
      <c r="AK5" s="169">
        <v>0.774193548387097</v>
      </c>
      <c r="AL5" s="170" t="s">
        <v>474</v>
      </c>
    </row>
    <row r="6" ht="18" customHeight="1" spans="1:38">
      <c r="C6" s="160" t="s">
        <v>476</v>
      </c>
      <c r="D6" s="161" t="s">
        <v>473</v>
      </c>
      <c r="E6" s="161" t="s">
        <v>473</v>
      </c>
      <c r="F6" s="161" t="s">
        <v>473</v>
      </c>
      <c r="G6" s="161" t="s">
        <v>473</v>
      </c>
      <c r="H6" s="161" t="s">
        <v>473</v>
      </c>
      <c r="I6" s="161" t="s">
        <v>473</v>
      </c>
      <c r="J6" s="161" t="s">
        <v>473</v>
      </c>
      <c r="K6" s="161" t="s">
        <v>473</v>
      </c>
      <c r="L6" s="161" t="s">
        <v>473</v>
      </c>
      <c r="M6" s="161" t="s">
        <v>473</v>
      </c>
      <c r="N6" s="161" t="s">
        <v>473</v>
      </c>
      <c r="O6" s="161" t="s">
        <v>473</v>
      </c>
      <c r="P6" s="161" t="s">
        <v>473</v>
      </c>
      <c r="Q6" s="161" t="s">
        <v>473</v>
      </c>
      <c r="R6" s="161" t="s">
        <v>473</v>
      </c>
      <c r="S6" s="161" t="s">
        <v>473</v>
      </c>
      <c r="T6" s="161" t="s">
        <v>473</v>
      </c>
      <c r="U6" s="161" t="s">
        <v>473</v>
      </c>
      <c r="V6" s="161" t="s">
        <v>473</v>
      </c>
      <c r="W6" s="161" t="s">
        <v>473</v>
      </c>
      <c r="X6" s="161" t="s">
        <v>473</v>
      </c>
      <c r="Y6" s="161" t="s">
        <v>473</v>
      </c>
      <c r="Z6" s="161" t="s">
        <v>473</v>
      </c>
      <c r="AA6" s="161" t="s">
        <v>473</v>
      </c>
      <c r="AB6" s="161" t="s">
        <v>473</v>
      </c>
      <c r="AC6" s="161" t="s">
        <v>473</v>
      </c>
      <c r="AD6" s="161" t="s">
        <v>473</v>
      </c>
      <c r="AE6" s="161" t="s">
        <v>473</v>
      </c>
      <c r="AF6" s="161" t="s">
        <v>473</v>
      </c>
      <c r="AG6" s="161" t="s">
        <v>473</v>
      </c>
      <c r="AH6" s="161" t="s">
        <v>473</v>
      </c>
      <c r="AJ6" s="163">
        <v>31</v>
      </c>
      <c r="AK6" s="164">
        <v>1</v>
      </c>
      <c r="AL6" s="165" t="s">
        <v>477</v>
      </c>
    </row>
    <row r="7" ht="18" customHeight="1" spans="1:38">
      <c r="C7" s="166" t="s">
        <v>478</v>
      </c>
      <c r="D7" s="167"/>
      <c r="E7" s="161" t="s">
        <v>473</v>
      </c>
      <c r="F7" s="167"/>
      <c r="G7" s="161" t="s">
        <v>473</v>
      </c>
      <c r="H7" s="167"/>
      <c r="I7" s="161" t="s">
        <v>473</v>
      </c>
      <c r="J7" s="161" t="s">
        <v>473</v>
      </c>
      <c r="K7" s="167"/>
      <c r="L7" s="161" t="s">
        <v>473</v>
      </c>
      <c r="M7" s="167"/>
      <c r="N7" s="161" t="s">
        <v>473</v>
      </c>
      <c r="O7" s="161" t="s">
        <v>473</v>
      </c>
      <c r="P7" s="167"/>
      <c r="Q7" s="161" t="s">
        <v>473</v>
      </c>
      <c r="R7" s="161" t="s">
        <v>473</v>
      </c>
      <c r="S7" s="161" t="s">
        <v>473</v>
      </c>
      <c r="T7" s="167"/>
      <c r="U7" s="161" t="s">
        <v>473</v>
      </c>
      <c r="V7" s="167"/>
      <c r="W7" s="161" t="s">
        <v>473</v>
      </c>
      <c r="X7" s="161" t="s">
        <v>473</v>
      </c>
      <c r="Y7" s="167"/>
      <c r="Z7" s="161" t="s">
        <v>473</v>
      </c>
      <c r="AA7" s="167"/>
      <c r="AB7" s="161" t="s">
        <v>473</v>
      </c>
      <c r="AC7" s="161" t="s">
        <v>473</v>
      </c>
      <c r="AD7" s="167"/>
      <c r="AE7" s="161" t="s">
        <v>473</v>
      </c>
      <c r="AF7" s="161" t="s">
        <v>473</v>
      </c>
      <c r="AG7" s="167"/>
      <c r="AH7" s="161" t="s">
        <v>473</v>
      </c>
      <c r="AJ7" s="168">
        <v>19</v>
      </c>
      <c r="AK7" s="169">
        <v>0.612903225806452</v>
      </c>
      <c r="AL7" s="170" t="s">
        <v>474</v>
      </c>
    </row>
    <row r="8" ht="18" customHeight="1" spans="1:38">
      <c r="C8" s="160" t="s">
        <v>479</v>
      </c>
      <c r="D8" s="161" t="s">
        <v>473</v>
      </c>
      <c r="E8" s="162"/>
      <c r="F8" s="161" t="s">
        <v>473</v>
      </c>
      <c r="G8" s="161" t="s">
        <v>473</v>
      </c>
      <c r="H8" s="162"/>
      <c r="I8" s="161" t="s">
        <v>473</v>
      </c>
      <c r="J8" s="161" t="s">
        <v>473</v>
      </c>
      <c r="K8" s="161" t="s">
        <v>473</v>
      </c>
      <c r="L8" s="162"/>
      <c r="M8" s="161" t="s">
        <v>473</v>
      </c>
      <c r="N8" s="161" t="s">
        <v>473</v>
      </c>
      <c r="O8" s="162"/>
      <c r="P8" s="161" t="s">
        <v>473</v>
      </c>
      <c r="Q8" s="161" t="s">
        <v>473</v>
      </c>
      <c r="R8" s="162"/>
      <c r="S8" s="161" t="s">
        <v>473</v>
      </c>
      <c r="T8" s="161" t="s">
        <v>473</v>
      </c>
      <c r="U8" s="162"/>
      <c r="V8" s="161" t="s">
        <v>473</v>
      </c>
      <c r="W8" s="161" t="s">
        <v>473</v>
      </c>
      <c r="X8" s="161" t="s">
        <v>473</v>
      </c>
      <c r="Y8" s="162"/>
      <c r="Z8" s="161" t="s">
        <v>473</v>
      </c>
      <c r="AA8" s="161" t="s">
        <v>473</v>
      </c>
      <c r="AB8" s="162"/>
      <c r="AC8" s="161" t="s">
        <v>473</v>
      </c>
      <c r="AD8" s="161" t="s">
        <v>473</v>
      </c>
      <c r="AE8" s="161" t="s">
        <v>473</v>
      </c>
      <c r="AF8" s="162"/>
      <c r="AG8" s="161" t="s">
        <v>473</v>
      </c>
      <c r="AH8" s="161" t="s">
        <v>473</v>
      </c>
      <c r="AJ8" s="163">
        <v>22</v>
      </c>
      <c r="AK8" s="164">
        <v>0.709677419354839</v>
      </c>
      <c r="AL8" s="165" t="s">
        <v>480</v>
      </c>
    </row>
    <row r="9" ht="18" customHeight="1" spans="1:38">
      <c r="C9" s="166" t="s">
        <v>481</v>
      </c>
      <c r="D9" s="161" t="s">
        <v>473</v>
      </c>
      <c r="E9" s="161" t="s">
        <v>473</v>
      </c>
      <c r="F9" s="161" t="s">
        <v>473</v>
      </c>
      <c r="G9" s="167"/>
      <c r="H9" s="161" t="s">
        <v>473</v>
      </c>
      <c r="I9" s="167"/>
      <c r="J9" s="161" t="s">
        <v>473</v>
      </c>
      <c r="K9" s="161" t="s">
        <v>473</v>
      </c>
      <c r="L9" s="161" t="s">
        <v>473</v>
      </c>
      <c r="M9" s="167"/>
      <c r="N9" s="161" t="s">
        <v>473</v>
      </c>
      <c r="O9" s="161" t="s">
        <v>473</v>
      </c>
      <c r="P9" s="161" t="s">
        <v>473</v>
      </c>
      <c r="Q9" s="167"/>
      <c r="R9" s="161" t="s">
        <v>473</v>
      </c>
      <c r="S9" s="167"/>
      <c r="T9" s="161" t="s">
        <v>473</v>
      </c>
      <c r="U9" s="161" t="s">
        <v>473</v>
      </c>
      <c r="V9" s="161" t="s">
        <v>473</v>
      </c>
      <c r="W9" s="167"/>
      <c r="X9" s="161" t="s">
        <v>473</v>
      </c>
      <c r="Y9" s="161" t="s">
        <v>473</v>
      </c>
      <c r="Z9" s="161" t="s">
        <v>473</v>
      </c>
      <c r="AA9" s="167"/>
      <c r="AB9" s="161" t="s">
        <v>473</v>
      </c>
      <c r="AC9" s="167"/>
      <c r="AD9" s="161" t="s">
        <v>473</v>
      </c>
      <c r="AE9" s="161" t="s">
        <v>473</v>
      </c>
      <c r="AF9" s="161" t="s">
        <v>473</v>
      </c>
      <c r="AG9" s="167"/>
      <c r="AH9" s="161" t="s">
        <v>473</v>
      </c>
      <c r="AJ9" s="168">
        <v>22</v>
      </c>
      <c r="AK9" s="169">
        <v>0.709677419354839</v>
      </c>
      <c r="AL9" s="170" t="s">
        <v>474</v>
      </c>
    </row>
    <row r="10" ht="18" customHeight="1" spans="1:38">
      <c r="C10" s="160" t="s">
        <v>482</v>
      </c>
      <c r="D10" s="162"/>
      <c r="E10" s="162"/>
      <c r="F10" s="161" t="s">
        <v>473</v>
      </c>
      <c r="G10" s="161" t="s">
        <v>473</v>
      </c>
      <c r="H10" s="162"/>
      <c r="I10" s="161" t="s">
        <v>473</v>
      </c>
      <c r="J10" s="162"/>
      <c r="K10" s="162"/>
      <c r="L10" s="161" t="s">
        <v>473</v>
      </c>
      <c r="M10" s="161" t="s">
        <v>473</v>
      </c>
      <c r="N10" s="162"/>
      <c r="O10" s="161" t="s">
        <v>473</v>
      </c>
      <c r="P10" s="162"/>
      <c r="Q10" s="162"/>
      <c r="R10" s="161" t="s">
        <v>473</v>
      </c>
      <c r="S10" s="161" t="s">
        <v>473</v>
      </c>
      <c r="T10" s="162"/>
      <c r="U10" s="161" t="s">
        <v>473</v>
      </c>
      <c r="V10" s="162"/>
      <c r="W10" s="162"/>
      <c r="X10" s="161" t="s">
        <v>473</v>
      </c>
      <c r="Y10" s="161" t="s">
        <v>473</v>
      </c>
      <c r="Z10" s="162"/>
      <c r="AA10" s="161" t="s">
        <v>473</v>
      </c>
      <c r="AB10" s="162"/>
      <c r="AC10" s="162"/>
      <c r="AD10" s="161" t="s">
        <v>473</v>
      </c>
      <c r="AE10" s="161" t="s">
        <v>473</v>
      </c>
      <c r="AF10" s="162"/>
      <c r="AG10" s="161" t="s">
        <v>473</v>
      </c>
      <c r="AH10" s="162"/>
      <c r="AJ10" s="163">
        <v>15</v>
      </c>
      <c r="AK10" s="164">
        <v>0.483870967741936</v>
      </c>
      <c r="AL10" s="165" t="s">
        <v>483</v>
      </c>
    </row>
    <row r="11" ht="18" customHeight="1" spans="1:38">
      <c r="C11" s="166" t="s">
        <v>484</v>
      </c>
      <c r="D11" s="161" t="s">
        <v>473</v>
      </c>
      <c r="E11" s="161" t="s">
        <v>473</v>
      </c>
      <c r="F11" s="167"/>
      <c r="G11" s="161" t="s">
        <v>473</v>
      </c>
      <c r="H11" s="161" t="s">
        <v>473</v>
      </c>
      <c r="I11" s="167"/>
      <c r="J11" s="161" t="s">
        <v>473</v>
      </c>
      <c r="K11" s="161" t="s">
        <v>473</v>
      </c>
      <c r="L11" s="167"/>
      <c r="M11" s="161" t="s">
        <v>473</v>
      </c>
      <c r="N11" s="161" t="s">
        <v>473</v>
      </c>
      <c r="O11" s="161" t="s">
        <v>473</v>
      </c>
      <c r="P11" s="161" t="s">
        <v>473</v>
      </c>
      <c r="Q11" s="161" t="s">
        <v>473</v>
      </c>
      <c r="R11" s="167"/>
      <c r="S11" s="161" t="s">
        <v>473</v>
      </c>
      <c r="T11" s="161" t="s">
        <v>473</v>
      </c>
      <c r="U11" s="167"/>
      <c r="V11" s="161" t="s">
        <v>473</v>
      </c>
      <c r="W11" s="161" t="s">
        <v>473</v>
      </c>
      <c r="X11" s="167"/>
      <c r="Y11" s="161" t="s">
        <v>473</v>
      </c>
      <c r="Z11" s="161" t="s">
        <v>473</v>
      </c>
      <c r="AA11" s="167"/>
      <c r="AB11" s="161" t="s">
        <v>473</v>
      </c>
      <c r="AC11" s="161" t="s">
        <v>473</v>
      </c>
      <c r="AD11" s="167"/>
      <c r="AE11" s="161" t="s">
        <v>473</v>
      </c>
      <c r="AF11" s="161" t="s">
        <v>473</v>
      </c>
      <c r="AG11" s="161" t="s">
        <v>473</v>
      </c>
      <c r="AH11" s="161" t="s">
        <v>473</v>
      </c>
      <c r="AJ11" s="168">
        <v>23</v>
      </c>
      <c r="AK11" s="169">
        <v>0.741935483870968</v>
      </c>
      <c r="AL11" s="170" t="s">
        <v>485</v>
      </c>
    </row>
    <row r="12" ht="18" customHeight="1" spans="1:38">
      <c r="C12" s="160" t="s">
        <v>486</v>
      </c>
      <c r="D12" s="161" t="s">
        <v>473</v>
      </c>
      <c r="E12" s="161" t="s">
        <v>473</v>
      </c>
      <c r="F12" s="161" t="s">
        <v>473</v>
      </c>
      <c r="G12" s="161" t="s">
        <v>473</v>
      </c>
      <c r="H12" s="162"/>
      <c r="I12" s="162"/>
      <c r="J12" s="161" t="s">
        <v>473</v>
      </c>
      <c r="K12" s="161" t="s">
        <v>473</v>
      </c>
      <c r="L12" s="161" t="s">
        <v>473</v>
      </c>
      <c r="M12" s="161" t="s">
        <v>473</v>
      </c>
      <c r="N12" s="162"/>
      <c r="O12" s="162"/>
      <c r="P12" s="161" t="s">
        <v>473</v>
      </c>
      <c r="Q12" s="161" t="s">
        <v>473</v>
      </c>
      <c r="R12" s="161" t="s">
        <v>473</v>
      </c>
      <c r="S12" s="161" t="s">
        <v>473</v>
      </c>
      <c r="T12" s="162"/>
      <c r="U12" s="162"/>
      <c r="V12" s="161" t="s">
        <v>473</v>
      </c>
      <c r="W12" s="161" t="s">
        <v>473</v>
      </c>
      <c r="X12" s="161" t="s">
        <v>473</v>
      </c>
      <c r="Y12" s="161" t="s">
        <v>473</v>
      </c>
      <c r="Z12" s="162"/>
      <c r="AA12" s="162"/>
      <c r="AB12" s="161" t="s">
        <v>473</v>
      </c>
      <c r="AC12" s="161" t="s">
        <v>473</v>
      </c>
      <c r="AD12" s="161" t="s">
        <v>473</v>
      </c>
      <c r="AE12" s="161" t="s">
        <v>473</v>
      </c>
      <c r="AF12" s="162"/>
      <c r="AG12" s="162"/>
      <c r="AH12" s="161" t="s">
        <v>473</v>
      </c>
      <c r="AJ12" s="163">
        <v>21</v>
      </c>
      <c r="AK12" s="164">
        <v>0.67741935483871</v>
      </c>
      <c r="AL12" s="165" t="s">
        <v>474</v>
      </c>
    </row>
    <row r="13" ht="18" customHeight="1" spans="1:38">
      <c r="C13" s="166" t="s">
        <v>487</v>
      </c>
      <c r="D13" s="161" t="s">
        <v>473</v>
      </c>
      <c r="E13" s="161" t="s">
        <v>473</v>
      </c>
      <c r="F13" s="161" t="s">
        <v>473</v>
      </c>
      <c r="G13" s="161" t="s">
        <v>473</v>
      </c>
      <c r="H13" s="161" t="s">
        <v>473</v>
      </c>
      <c r="I13" s="167"/>
      <c r="J13" s="161" t="s">
        <v>473</v>
      </c>
      <c r="K13" s="161" t="s">
        <v>473</v>
      </c>
      <c r="L13" s="161" t="s">
        <v>473</v>
      </c>
      <c r="M13" s="161" t="s">
        <v>473</v>
      </c>
      <c r="N13" s="161" t="s">
        <v>473</v>
      </c>
      <c r="O13" s="167"/>
      <c r="P13" s="161" t="s">
        <v>473</v>
      </c>
      <c r="Q13" s="161" t="s">
        <v>473</v>
      </c>
      <c r="R13" s="161" t="s">
        <v>473</v>
      </c>
      <c r="S13" s="161" t="s">
        <v>473</v>
      </c>
      <c r="T13" s="161" t="s">
        <v>473</v>
      </c>
      <c r="U13" s="167"/>
      <c r="V13" s="161" t="s">
        <v>473</v>
      </c>
      <c r="W13" s="161" t="s">
        <v>473</v>
      </c>
      <c r="X13" s="161" t="s">
        <v>473</v>
      </c>
      <c r="Y13" s="161" t="s">
        <v>473</v>
      </c>
      <c r="Z13" s="161" t="s">
        <v>473</v>
      </c>
      <c r="AA13" s="167"/>
      <c r="AB13" s="161" t="s">
        <v>473</v>
      </c>
      <c r="AC13" s="161" t="s">
        <v>473</v>
      </c>
      <c r="AD13" s="161" t="s">
        <v>473</v>
      </c>
      <c r="AE13" s="161" t="s">
        <v>473</v>
      </c>
      <c r="AF13" s="161" t="s">
        <v>473</v>
      </c>
      <c r="AG13" s="167"/>
      <c r="AH13" s="161" t="s">
        <v>473</v>
      </c>
      <c r="AJ13" s="168">
        <v>26</v>
      </c>
      <c r="AK13" s="169">
        <v>0.838709677419355</v>
      </c>
      <c r="AL13" s="170" t="s">
        <v>474</v>
      </c>
    </row>
    <row r="14" ht="18" customHeight="1" spans="1:38">
      <c r="C14" s="160" t="s">
        <v>488</v>
      </c>
      <c r="D14" s="161" t="s">
        <v>473</v>
      </c>
      <c r="E14" s="161" t="s">
        <v>473</v>
      </c>
      <c r="F14" s="161" t="s">
        <v>473</v>
      </c>
      <c r="G14" s="162"/>
      <c r="H14" s="161" t="s">
        <v>473</v>
      </c>
      <c r="I14" s="161" t="s">
        <v>473</v>
      </c>
      <c r="J14" s="161" t="s">
        <v>473</v>
      </c>
      <c r="K14" s="162"/>
      <c r="L14" s="161" t="s">
        <v>473</v>
      </c>
      <c r="M14" s="161" t="s">
        <v>473</v>
      </c>
      <c r="N14" s="161" t="s">
        <v>473</v>
      </c>
      <c r="O14" s="162"/>
      <c r="P14" s="161" t="s">
        <v>473</v>
      </c>
      <c r="Q14" s="161" t="s">
        <v>473</v>
      </c>
      <c r="R14" s="161" t="s">
        <v>473</v>
      </c>
      <c r="S14" s="162"/>
      <c r="T14" s="161" t="s">
        <v>473</v>
      </c>
      <c r="U14" s="161" t="s">
        <v>473</v>
      </c>
      <c r="V14" s="161" t="s">
        <v>473</v>
      </c>
      <c r="W14" s="162"/>
      <c r="X14" s="161" t="s">
        <v>473</v>
      </c>
      <c r="Y14" s="161" t="s">
        <v>473</v>
      </c>
      <c r="Z14" s="161" t="s">
        <v>473</v>
      </c>
      <c r="AA14" s="162"/>
      <c r="AB14" s="161" t="s">
        <v>473</v>
      </c>
      <c r="AC14" s="161" t="s">
        <v>473</v>
      </c>
      <c r="AD14" s="161" t="s">
        <v>473</v>
      </c>
      <c r="AE14" s="162"/>
      <c r="AF14" s="161" t="s">
        <v>473</v>
      </c>
      <c r="AG14" s="161" t="s">
        <v>473</v>
      </c>
      <c r="AH14" s="161" t="s">
        <v>473</v>
      </c>
      <c r="AJ14" s="163">
        <v>24</v>
      </c>
      <c r="AK14" s="164">
        <v>0.774193548387097</v>
      </c>
      <c r="AL14" s="165" t="s">
        <v>489</v>
      </c>
    </row>
    <row r="15" ht="18" customHeight="1" spans="1:38">
      <c r="C15" s="166" t="s">
        <v>490</v>
      </c>
      <c r="D15" s="161" t="s">
        <v>473</v>
      </c>
      <c r="E15" s="167"/>
      <c r="F15" s="161" t="s">
        <v>473</v>
      </c>
      <c r="G15" s="161" t="s">
        <v>473</v>
      </c>
      <c r="H15" s="161" t="s">
        <v>473</v>
      </c>
      <c r="I15" s="167"/>
      <c r="J15" s="161" t="s">
        <v>473</v>
      </c>
      <c r="K15" s="161" t="s">
        <v>473</v>
      </c>
      <c r="L15" s="161" t="s">
        <v>473</v>
      </c>
      <c r="M15" s="167"/>
      <c r="N15" s="161" t="s">
        <v>473</v>
      </c>
      <c r="O15" s="161" t="s">
        <v>473</v>
      </c>
      <c r="P15" s="161" t="s">
        <v>473</v>
      </c>
      <c r="Q15" s="167"/>
      <c r="R15" s="161" t="s">
        <v>473</v>
      </c>
      <c r="S15" s="161" t="s">
        <v>473</v>
      </c>
      <c r="T15" s="161" t="s">
        <v>473</v>
      </c>
      <c r="U15" s="167"/>
      <c r="V15" s="161" t="s">
        <v>473</v>
      </c>
      <c r="W15" s="161" t="s">
        <v>473</v>
      </c>
      <c r="X15" s="161" t="s">
        <v>473</v>
      </c>
      <c r="Y15" s="167"/>
      <c r="Z15" s="161" t="s">
        <v>473</v>
      </c>
      <c r="AA15" s="161" t="s">
        <v>473</v>
      </c>
      <c r="AB15" s="161" t="s">
        <v>473</v>
      </c>
      <c r="AC15" s="167"/>
      <c r="AD15" s="161" t="s">
        <v>473</v>
      </c>
      <c r="AE15" s="161" t="s">
        <v>473</v>
      </c>
      <c r="AF15" s="161" t="s">
        <v>473</v>
      </c>
      <c r="AG15" s="167"/>
      <c r="AH15" s="161" t="s">
        <v>473</v>
      </c>
      <c r="AJ15" s="168">
        <v>23</v>
      </c>
      <c r="AK15" s="169">
        <v>0.741935483870968</v>
      </c>
      <c r="AL15" s="170" t="s">
        <v>474</v>
      </c>
    </row>
    <row r="16" ht="18" customHeight="1" spans="1:38">
      <c r="C16" s="160" t="s">
        <v>491</v>
      </c>
      <c r="D16" s="161" t="s">
        <v>473</v>
      </c>
      <c r="E16" s="161" t="s">
        <v>473</v>
      </c>
      <c r="F16" s="162"/>
      <c r="G16" s="161" t="s">
        <v>473</v>
      </c>
      <c r="H16" s="162"/>
      <c r="I16" s="161" t="s">
        <v>473</v>
      </c>
      <c r="J16" s="161" t="s">
        <v>473</v>
      </c>
      <c r="K16" s="162"/>
      <c r="L16" s="161" t="s">
        <v>473</v>
      </c>
      <c r="M16" s="162"/>
      <c r="N16" s="161" t="s">
        <v>473</v>
      </c>
      <c r="O16" s="161" t="s">
        <v>473</v>
      </c>
      <c r="P16" s="162"/>
      <c r="Q16" s="161" t="s">
        <v>473</v>
      </c>
      <c r="R16" s="162"/>
      <c r="S16" s="161" t="s">
        <v>473</v>
      </c>
      <c r="T16" s="161" t="s">
        <v>473</v>
      </c>
      <c r="U16" s="162"/>
      <c r="V16" s="161" t="s">
        <v>473</v>
      </c>
      <c r="W16" s="162"/>
      <c r="X16" s="161" t="s">
        <v>473</v>
      </c>
      <c r="Y16" s="161" t="s">
        <v>473</v>
      </c>
      <c r="Z16" s="162"/>
      <c r="AA16" s="161" t="s">
        <v>473</v>
      </c>
      <c r="AB16" s="162"/>
      <c r="AC16" s="161" t="s">
        <v>473</v>
      </c>
      <c r="AD16" s="161" t="s">
        <v>473</v>
      </c>
      <c r="AE16" s="162"/>
      <c r="AF16" s="161" t="s">
        <v>473</v>
      </c>
      <c r="AG16" s="162"/>
      <c r="AH16" s="161" t="s">
        <v>473</v>
      </c>
      <c r="AJ16" s="163">
        <v>19</v>
      </c>
      <c r="AK16" s="164">
        <v>0.612903225806452</v>
      </c>
      <c r="AL16" s="165" t="s">
        <v>474</v>
      </c>
    </row>
    <row r="17" ht="18" customHeight="1" spans="3:38">
      <c r="C17" s="166" t="s">
        <v>492</v>
      </c>
      <c r="D17" s="167"/>
      <c r="E17" s="161" t="s">
        <v>473</v>
      </c>
      <c r="F17" s="161" t="s">
        <v>473</v>
      </c>
      <c r="G17" s="167"/>
      <c r="H17" s="161" t="s">
        <v>473</v>
      </c>
      <c r="I17" s="161" t="s">
        <v>473</v>
      </c>
      <c r="J17" s="167"/>
      <c r="K17" s="161" t="s">
        <v>473</v>
      </c>
      <c r="L17" s="161" t="s">
        <v>473</v>
      </c>
      <c r="M17" s="167"/>
      <c r="N17" s="161" t="s">
        <v>473</v>
      </c>
      <c r="O17" s="161" t="s">
        <v>473</v>
      </c>
      <c r="P17" s="167"/>
      <c r="Q17" s="161" t="s">
        <v>473</v>
      </c>
      <c r="R17" s="161" t="s">
        <v>473</v>
      </c>
      <c r="S17" s="167"/>
      <c r="T17" s="161" t="s">
        <v>473</v>
      </c>
      <c r="U17" s="161" t="s">
        <v>473</v>
      </c>
      <c r="V17" s="167"/>
      <c r="W17" s="161" t="s">
        <v>473</v>
      </c>
      <c r="X17" s="161" t="s">
        <v>473</v>
      </c>
      <c r="Y17" s="167"/>
      <c r="Z17" s="161" t="s">
        <v>473</v>
      </c>
      <c r="AA17" s="161" t="s">
        <v>473</v>
      </c>
      <c r="AB17" s="167"/>
      <c r="AC17" s="161" t="s">
        <v>473</v>
      </c>
      <c r="AD17" s="161" t="s">
        <v>473</v>
      </c>
      <c r="AE17" s="167"/>
      <c r="AF17" s="161" t="s">
        <v>473</v>
      </c>
      <c r="AG17" s="161" t="s">
        <v>473</v>
      </c>
      <c r="AH17" s="167"/>
      <c r="AJ17" s="168">
        <v>20</v>
      </c>
      <c r="AK17" s="169">
        <v>0.645161290322581</v>
      </c>
      <c r="AL17" s="170" t="s">
        <v>483</v>
      </c>
    </row>
    <row r="18" ht="18" customHeight="1" spans="3:38">
      <c r="C18" s="160" t="s">
        <v>493</v>
      </c>
      <c r="D18" s="162"/>
      <c r="E18" s="161" t="s">
        <v>473</v>
      </c>
      <c r="F18" s="162"/>
      <c r="G18" s="162"/>
      <c r="H18" s="161" t="s">
        <v>473</v>
      </c>
      <c r="I18" s="162"/>
      <c r="J18" s="162"/>
      <c r="K18" s="161" t="s">
        <v>473</v>
      </c>
      <c r="L18" s="162"/>
      <c r="M18" s="162"/>
      <c r="N18" s="161" t="s">
        <v>473</v>
      </c>
      <c r="O18" s="162"/>
      <c r="P18" s="162"/>
      <c r="Q18" s="161" t="s">
        <v>473</v>
      </c>
      <c r="R18" s="162"/>
      <c r="S18" s="162"/>
      <c r="T18" s="161" t="s">
        <v>473</v>
      </c>
      <c r="U18" s="162"/>
      <c r="V18" s="162"/>
      <c r="W18" s="161" t="s">
        <v>473</v>
      </c>
      <c r="X18" s="162"/>
      <c r="Y18" s="162"/>
      <c r="Z18" s="161" t="s">
        <v>473</v>
      </c>
      <c r="AA18" s="162"/>
      <c r="AB18" s="162"/>
      <c r="AC18" s="161" t="s">
        <v>473</v>
      </c>
      <c r="AD18" s="162"/>
      <c r="AE18" s="162"/>
      <c r="AF18" s="161" t="s">
        <v>473</v>
      </c>
      <c r="AG18" s="162"/>
      <c r="AH18" s="162"/>
      <c r="AJ18" s="163">
        <v>10</v>
      </c>
      <c r="AK18" s="164">
        <v>0.32258064516129</v>
      </c>
      <c r="AL18" s="165" t="s">
        <v>483</v>
      </c>
    </row>
    <row r="19" ht="19.5" customHeight="1" spans="3:38">
      <c r="C19" s="171" t="s">
        <v>494</v>
      </c>
      <c r="D19" s="158">
        <f t="shared" ref="D19:AH19" si="0">COUNTIF(D4:D18,"✓")</f>
        <v>11</v>
      </c>
      <c r="E19" s="158">
        <f t="shared" si="0"/>
        <v>12</v>
      </c>
      <c r="F19" s="158">
        <f t="shared" si="0"/>
        <v>10</v>
      </c>
      <c r="G19" s="158">
        <f t="shared" si="0"/>
        <v>10</v>
      </c>
      <c r="H19" s="158">
        <f t="shared" si="0"/>
        <v>10</v>
      </c>
      <c r="I19" s="158">
        <f t="shared" si="0"/>
        <v>9</v>
      </c>
      <c r="J19" s="158">
        <f t="shared" si="0"/>
        <v>11</v>
      </c>
      <c r="K19" s="158">
        <f t="shared" si="0"/>
        <v>11</v>
      </c>
      <c r="L19" s="158">
        <f t="shared" si="0"/>
        <v>11</v>
      </c>
      <c r="M19" s="158">
        <f t="shared" si="0"/>
        <v>9</v>
      </c>
      <c r="N19" s="158">
        <f t="shared" si="0"/>
        <v>12</v>
      </c>
      <c r="O19" s="158">
        <f t="shared" si="0"/>
        <v>10</v>
      </c>
      <c r="P19" s="158">
        <f t="shared" si="0"/>
        <v>9</v>
      </c>
      <c r="Q19" s="158">
        <f t="shared" si="0"/>
        <v>12</v>
      </c>
      <c r="R19" s="158">
        <f t="shared" si="0"/>
        <v>10</v>
      </c>
      <c r="S19" s="158">
        <f t="shared" si="0"/>
        <v>11</v>
      </c>
      <c r="T19" s="158">
        <f t="shared" si="0"/>
        <v>12</v>
      </c>
      <c r="U19" s="158">
        <f t="shared" si="0"/>
        <v>7</v>
      </c>
      <c r="V19" s="158">
        <f t="shared" si="0"/>
        <v>10</v>
      </c>
      <c r="W19" s="158">
        <f t="shared" si="0"/>
        <v>11</v>
      </c>
      <c r="X19" s="158">
        <f t="shared" si="0"/>
        <v>12</v>
      </c>
      <c r="Y19" s="158">
        <f t="shared" si="0"/>
        <v>9</v>
      </c>
      <c r="Z19" s="158">
        <f t="shared" si="0"/>
        <v>12</v>
      </c>
      <c r="AA19" s="158">
        <f t="shared" si="0"/>
        <v>8</v>
      </c>
      <c r="AB19" s="158">
        <f t="shared" si="0"/>
        <v>10</v>
      </c>
      <c r="AC19" s="158">
        <f t="shared" si="0"/>
        <v>10</v>
      </c>
      <c r="AD19" s="158">
        <f t="shared" si="0"/>
        <v>12</v>
      </c>
      <c r="AE19" s="158">
        <f t="shared" si="0"/>
        <v>11</v>
      </c>
      <c r="AF19" s="158">
        <f t="shared" si="0"/>
        <v>12</v>
      </c>
      <c r="AG19" s="158">
        <f t="shared" si="0"/>
        <v>6</v>
      </c>
      <c r="AH19" s="158">
        <f t="shared" si="0"/>
        <v>12</v>
      </c>
    </row>
  </sheetData>
  <mergeCells count="2">
    <mergeCell ref="A1:AL1"/>
    <mergeCell ref="A2:AL2"/>
  </mergeCells>
  <pageMargins left="0.25" right="0.25" top="0.4" bottom="0.4" header="0.511811023622047" footer="0.511811023622047"/>
  <pageSetup paperSize="1" fitToHeight="0" orientation="landscape" horizontalDpi="300" verticalDpi="300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EA5E9"/>
    <pageSetUpPr fitToPage="1"/>
  </sheetPr>
  <dimension ref="B1:H27"/>
  <sheetViews>
    <sheetView showGridLines="0" zoomScale="90" zoomScaleNormal="90" workbookViewId="0">
      <selection activeCell="A1" sqref="A1"/>
    </sheetView>
  </sheetViews>
  <sheetFormatPr defaultColWidth="8.68181818181818" defaultRowHeight="14.5" outlineLevelCol="7"/>
  <cols>
    <col min="1" max="1" width="3" customWidth="1"/>
    <col min="2" max="8" width="16" customWidth="1"/>
    <col min="9" max="9" width="3" customWidth="1"/>
  </cols>
  <sheetData>
    <row r="1" ht="31.5" customHeight="1" spans="2:8">
      <c r="B1" s="135" t="s">
        <v>495</v>
      </c>
      <c r="C1" s="135"/>
      <c r="D1" s="135"/>
      <c r="E1" s="135"/>
      <c r="F1" s="135"/>
      <c r="G1" s="135"/>
      <c r="H1" s="135"/>
    </row>
    <row r="3" ht="24" customHeight="1" spans="2:8">
      <c r="B3" s="24" t="s">
        <v>496</v>
      </c>
      <c r="C3" s="24" t="s">
        <v>497</v>
      </c>
      <c r="D3" s="24" t="s">
        <v>498</v>
      </c>
      <c r="E3" s="24" t="s">
        <v>499</v>
      </c>
      <c r="F3" s="24" t="s">
        <v>500</v>
      </c>
      <c r="G3" s="24" t="s">
        <v>501</v>
      </c>
      <c r="H3" s="24" t="s">
        <v>502</v>
      </c>
    </row>
    <row r="4" ht="19.5" customHeight="1" spans="2:8">
      <c r="B4" s="149"/>
      <c r="C4" s="149"/>
      <c r="D4" s="149"/>
      <c r="E4" s="150">
        <v>1</v>
      </c>
      <c r="F4" s="150">
        <v>2</v>
      </c>
      <c r="G4" s="150">
        <v>3</v>
      </c>
      <c r="H4" s="151">
        <v>4</v>
      </c>
    </row>
    <row r="5" ht="19.5" customHeight="1" spans="2:8">
      <c r="B5" s="149"/>
      <c r="C5" s="149"/>
      <c r="D5" s="149"/>
      <c r="E5" s="152"/>
      <c r="F5" s="152"/>
      <c r="G5" s="153" t="s">
        <v>503</v>
      </c>
      <c r="H5" s="154"/>
    </row>
    <row r="6" ht="19.5" customHeight="1" spans="2:8">
      <c r="B6" s="149"/>
      <c r="C6" s="149"/>
      <c r="D6" s="149"/>
      <c r="E6" s="152"/>
      <c r="F6" s="152"/>
      <c r="G6" s="152"/>
      <c r="H6" s="154"/>
    </row>
    <row r="7" ht="19.5" customHeight="1" spans="2:8">
      <c r="B7" s="149"/>
      <c r="C7" s="149"/>
      <c r="D7" s="149"/>
      <c r="E7" s="152"/>
      <c r="F7" s="152"/>
      <c r="G7" s="152"/>
      <c r="H7" s="154"/>
    </row>
    <row r="8" ht="19.5" customHeight="1" spans="2:8">
      <c r="B8" s="151">
        <v>5</v>
      </c>
      <c r="C8" s="150">
        <v>6</v>
      </c>
      <c r="D8" s="150">
        <v>7</v>
      </c>
      <c r="E8" s="150">
        <v>8</v>
      </c>
      <c r="F8" s="150">
        <v>9</v>
      </c>
      <c r="G8" s="150">
        <v>10</v>
      </c>
      <c r="H8" s="151">
        <v>11</v>
      </c>
    </row>
    <row r="9" ht="19.5" customHeight="1" spans="2:8">
      <c r="B9" s="154"/>
      <c r="C9" s="152"/>
      <c r="D9" s="153" t="s">
        <v>504</v>
      </c>
      <c r="E9" s="152"/>
      <c r="F9" s="152"/>
      <c r="G9" s="153" t="s">
        <v>505</v>
      </c>
      <c r="H9" s="154"/>
    </row>
    <row r="10" ht="19.5" customHeight="1" spans="2:8">
      <c r="B10" s="154"/>
      <c r="C10" s="152"/>
      <c r="D10" s="152"/>
      <c r="E10" s="152"/>
      <c r="F10" s="152"/>
      <c r="G10" s="152"/>
      <c r="H10" s="154"/>
    </row>
    <row r="11" ht="19.5" customHeight="1" spans="2:8">
      <c r="B11" s="154"/>
      <c r="C11" s="152"/>
      <c r="D11" s="152"/>
      <c r="E11" s="152"/>
      <c r="F11" s="152"/>
      <c r="G11" s="152"/>
      <c r="H11" s="154"/>
    </row>
    <row r="12" ht="19.5" customHeight="1" spans="2:8">
      <c r="B12" s="151">
        <v>12</v>
      </c>
      <c r="C12" s="150">
        <v>13</v>
      </c>
      <c r="D12" s="150">
        <v>14</v>
      </c>
      <c r="E12" s="150">
        <v>15</v>
      </c>
      <c r="F12" s="150">
        <v>16</v>
      </c>
      <c r="G12" s="150">
        <v>17</v>
      </c>
      <c r="H12" s="151">
        <v>18</v>
      </c>
    </row>
    <row r="13" ht="19.5" customHeight="1" spans="2:8">
      <c r="B13" s="154"/>
      <c r="C13" s="152"/>
      <c r="D13" s="152"/>
      <c r="E13" s="153" t="s">
        <v>506</v>
      </c>
      <c r="F13" s="152"/>
      <c r="G13" s="152"/>
      <c r="H13" s="154"/>
    </row>
    <row r="14" ht="19.5" customHeight="1" spans="2:8">
      <c r="B14" s="154"/>
      <c r="C14" s="152"/>
      <c r="D14" s="152"/>
      <c r="E14" s="152"/>
      <c r="F14" s="152"/>
      <c r="G14" s="152"/>
      <c r="H14" s="154"/>
    </row>
    <row r="15" ht="19.5" customHeight="1" spans="2:8">
      <c r="B15" s="154"/>
      <c r="C15" s="152"/>
      <c r="D15" s="152"/>
      <c r="E15" s="152"/>
      <c r="F15" s="152"/>
      <c r="G15" s="152"/>
      <c r="H15" s="154"/>
    </row>
    <row r="16" ht="19.5" customHeight="1" spans="2:8">
      <c r="B16" s="151">
        <v>19</v>
      </c>
      <c r="C16" s="150">
        <v>20</v>
      </c>
      <c r="D16" s="150">
        <v>21</v>
      </c>
      <c r="E16" s="150">
        <v>22</v>
      </c>
      <c r="F16" s="150">
        <v>23</v>
      </c>
      <c r="G16" s="150">
        <v>24</v>
      </c>
      <c r="H16" s="151">
        <v>25</v>
      </c>
    </row>
    <row r="17" ht="19.5" customHeight="1" spans="2:8">
      <c r="B17" s="154"/>
      <c r="C17" s="153" t="s">
        <v>507</v>
      </c>
      <c r="D17" s="152"/>
      <c r="E17" s="153" t="s">
        <v>508</v>
      </c>
      <c r="F17" s="152"/>
      <c r="G17" s="152"/>
      <c r="H17" s="154"/>
    </row>
    <row r="18" ht="19.5" customHeight="1" spans="2:8">
      <c r="B18" s="154"/>
      <c r="C18" s="152"/>
      <c r="D18" s="152"/>
      <c r="E18" s="152"/>
      <c r="F18" s="152"/>
      <c r="G18" s="152"/>
      <c r="H18" s="154"/>
    </row>
    <row r="19" ht="19.5" customHeight="1" spans="2:8">
      <c r="B19" s="154"/>
      <c r="C19" s="152"/>
      <c r="D19" s="152"/>
      <c r="E19" s="152"/>
      <c r="F19" s="152"/>
      <c r="G19" s="152"/>
      <c r="H19" s="154"/>
    </row>
    <row r="20" ht="19.5" customHeight="1" spans="2:8">
      <c r="B20" s="151">
        <v>26</v>
      </c>
      <c r="C20" s="150">
        <v>27</v>
      </c>
      <c r="D20" s="150">
        <v>28</v>
      </c>
      <c r="E20" s="150">
        <v>29</v>
      </c>
      <c r="F20" s="150">
        <v>30</v>
      </c>
      <c r="G20" s="150">
        <v>31</v>
      </c>
      <c r="H20" s="149"/>
    </row>
    <row r="21" ht="19.5" customHeight="1" spans="2:8">
      <c r="B21" s="154"/>
      <c r="C21" s="152"/>
      <c r="D21" s="153" t="s">
        <v>509</v>
      </c>
      <c r="E21" s="152"/>
      <c r="F21" s="152"/>
      <c r="G21" s="152"/>
      <c r="H21" s="149"/>
    </row>
    <row r="22" ht="19.5" customHeight="1" spans="2:8">
      <c r="B22" s="154"/>
      <c r="C22" s="152"/>
      <c r="D22" s="152"/>
      <c r="E22" s="152"/>
      <c r="F22" s="152"/>
      <c r="G22" s="152"/>
      <c r="H22" s="149"/>
    </row>
    <row r="23" ht="19.5" customHeight="1" spans="2:8">
      <c r="B23" s="154"/>
      <c r="C23" s="152"/>
      <c r="D23" s="152"/>
      <c r="E23" s="152"/>
      <c r="F23" s="152"/>
      <c r="G23" s="152"/>
      <c r="H23" s="149"/>
    </row>
    <row r="24" ht="19.5" customHeight="1" spans="2:8">
      <c r="B24" s="149"/>
      <c r="C24" s="149"/>
      <c r="D24" s="149"/>
      <c r="E24" s="149"/>
      <c r="F24" s="149"/>
      <c r="G24" s="149"/>
      <c r="H24" s="149"/>
    </row>
    <row r="25" ht="19.5" customHeight="1" spans="2:8">
      <c r="B25" s="149"/>
      <c r="C25" s="149"/>
      <c r="D25" s="149"/>
      <c r="E25" s="149"/>
      <c r="F25" s="149"/>
      <c r="G25" s="149"/>
      <c r="H25" s="149"/>
    </row>
    <row r="26" ht="19.5" customHeight="1" spans="2:8">
      <c r="B26" s="149"/>
      <c r="C26" s="149"/>
      <c r="D26" s="149"/>
      <c r="E26" s="149"/>
      <c r="F26" s="149"/>
      <c r="G26" s="149"/>
      <c r="H26" s="149"/>
    </row>
    <row r="27" ht="19.5" customHeight="1" spans="2:8">
      <c r="B27" s="149"/>
      <c r="C27" s="149"/>
      <c r="D27" s="149"/>
      <c r="E27" s="149"/>
      <c r="F27" s="149"/>
      <c r="G27" s="149"/>
      <c r="H27" s="149"/>
    </row>
  </sheetData>
  <mergeCells count="1">
    <mergeCell ref="B1:H1"/>
  </mergeCells>
  <pageMargins left="0.25" right="0.25" top="0.4" bottom="0.4" header="0.511811023622047" footer="0.511811023622047"/>
  <pageSetup paperSize="1" fitToHeight="0" orientation="landscape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EA5E9"/>
    <pageSetUpPr fitToPage="1"/>
  </sheetPr>
  <dimension ref="A1:I19"/>
  <sheetViews>
    <sheetView showGridLines="0" zoomScale="90" zoomScaleNormal="90" workbookViewId="0">
      <pane xSplit="1" ySplit="3" topLeftCell="B4" activePane="bottomRight" state="frozen"/>
      <selection/>
      <selection pane="topRight"/>
      <selection pane="bottomLeft"/>
      <selection pane="bottomRight" activeCell="A1" sqref="A1:I1"/>
    </sheetView>
  </sheetViews>
  <sheetFormatPr defaultColWidth="8.68181818181818" defaultRowHeight="14.5"/>
  <cols>
    <col min="1" max="1" width="3" customWidth="1"/>
    <col min="2" max="2" width="12" customWidth="1"/>
    <col min="3" max="9" width="16" customWidth="1"/>
  </cols>
  <sheetData>
    <row r="1" ht="31.5" customHeight="1" spans="1:9">
      <c r="A1" s="135" t="s">
        <v>510</v>
      </c>
      <c r="B1" s="135"/>
      <c r="C1" s="135"/>
      <c r="D1" s="135"/>
      <c r="E1" s="135"/>
      <c r="F1" s="135"/>
      <c r="G1" s="135"/>
      <c r="H1" s="135"/>
      <c r="I1" s="135"/>
    </row>
    <row r="2" ht="15.75" customHeight="1" spans="1:9">
      <c r="A2" s="22" t="s">
        <v>511</v>
      </c>
      <c r="B2" s="22"/>
      <c r="C2" s="22"/>
      <c r="D2" s="22"/>
      <c r="E2" s="22"/>
      <c r="F2" s="22"/>
      <c r="G2" s="22"/>
      <c r="H2" s="22"/>
      <c r="I2" s="22"/>
    </row>
    <row r="3" ht="24" customHeight="1" spans="1:9">
      <c r="A3" s="24" t="s">
        <v>512</v>
      </c>
      <c r="B3" s="59" t="s">
        <v>497</v>
      </c>
      <c r="C3" s="59" t="s">
        <v>498</v>
      </c>
      <c r="D3" s="59" t="s">
        <v>499</v>
      </c>
      <c r="E3" s="59" t="s">
        <v>500</v>
      </c>
      <c r="F3" s="59" t="s">
        <v>501</v>
      </c>
      <c r="G3" s="61" t="s">
        <v>502</v>
      </c>
      <c r="H3" s="61" t="s">
        <v>496</v>
      </c>
    </row>
    <row r="4" ht="21.75" customHeight="1" spans="1:9">
      <c r="A4" s="136" t="s">
        <v>513</v>
      </c>
      <c r="B4" s="137" t="s">
        <v>514</v>
      </c>
      <c r="C4" s="137" t="s">
        <v>514</v>
      </c>
      <c r="D4" s="137" t="s">
        <v>514</v>
      </c>
      <c r="E4" s="137" t="s">
        <v>514</v>
      </c>
      <c r="F4" s="137" t="s">
        <v>514</v>
      </c>
      <c r="G4" s="138"/>
      <c r="H4" s="138"/>
    </row>
    <row r="5" ht="21.75" customHeight="1" spans="1:9">
      <c r="A5" s="136" t="s">
        <v>515</v>
      </c>
      <c r="B5" s="139" t="s">
        <v>516</v>
      </c>
      <c r="C5" s="140"/>
      <c r="D5" s="140"/>
      <c r="E5" s="140"/>
      <c r="F5" s="140"/>
      <c r="G5" s="139" t="s">
        <v>517</v>
      </c>
      <c r="H5" s="141" t="s">
        <v>518</v>
      </c>
    </row>
    <row r="6" ht="21.75" customHeight="1" spans="1:9">
      <c r="A6" s="136" t="s">
        <v>519</v>
      </c>
      <c r="B6" s="142" t="s">
        <v>520</v>
      </c>
      <c r="C6" s="142" t="s">
        <v>520</v>
      </c>
      <c r="D6" s="142" t="s">
        <v>520</v>
      </c>
      <c r="E6" s="142" t="s">
        <v>520</v>
      </c>
      <c r="F6" s="142" t="s">
        <v>520</v>
      </c>
      <c r="G6" s="138"/>
      <c r="H6" s="138"/>
    </row>
    <row r="7" ht="21.75" customHeight="1" spans="1:9">
      <c r="A7" s="136" t="s">
        <v>521</v>
      </c>
      <c r="B7" s="143" t="s">
        <v>522</v>
      </c>
      <c r="C7" s="143" t="s">
        <v>522</v>
      </c>
      <c r="D7" s="143" t="s">
        <v>522</v>
      </c>
      <c r="E7" s="143" t="s">
        <v>522</v>
      </c>
      <c r="F7" s="143" t="s">
        <v>522</v>
      </c>
      <c r="G7" s="140"/>
      <c r="H7" s="140"/>
    </row>
    <row r="8" ht="21.75" customHeight="1" spans="1:9">
      <c r="A8" s="136" t="s">
        <v>523</v>
      </c>
      <c r="B8" s="138"/>
      <c r="C8" s="138"/>
      <c r="D8" s="138"/>
      <c r="E8" s="138"/>
      <c r="F8" s="138"/>
      <c r="G8" s="138"/>
      <c r="H8" s="138"/>
    </row>
    <row r="9" ht="21.75" customHeight="1" spans="1:9">
      <c r="A9" s="136" t="s">
        <v>524</v>
      </c>
      <c r="B9" s="140"/>
      <c r="C9" s="140"/>
      <c r="D9" s="140"/>
      <c r="E9" s="140"/>
      <c r="F9" s="140"/>
      <c r="G9" s="140"/>
      <c r="H9" s="140"/>
    </row>
    <row r="10" ht="21.75" customHeight="1" spans="1:9">
      <c r="A10" s="136" t="s">
        <v>525</v>
      </c>
      <c r="B10" s="144" t="s">
        <v>526</v>
      </c>
      <c r="C10" s="144" t="s">
        <v>526</v>
      </c>
      <c r="D10" s="144" t="s">
        <v>526</v>
      </c>
      <c r="E10" s="144" t="s">
        <v>526</v>
      </c>
      <c r="F10" s="144" t="s">
        <v>526</v>
      </c>
      <c r="G10" s="144" t="s">
        <v>526</v>
      </c>
      <c r="H10" s="138"/>
    </row>
    <row r="11" ht="21.75" customHeight="1" spans="1:9">
      <c r="A11" s="136" t="s">
        <v>527</v>
      </c>
      <c r="B11" s="142" t="s">
        <v>528</v>
      </c>
      <c r="C11" s="140"/>
      <c r="D11" s="145" t="s">
        <v>529</v>
      </c>
      <c r="E11" s="140"/>
      <c r="F11" s="143" t="s">
        <v>530</v>
      </c>
      <c r="G11" s="140"/>
      <c r="H11" s="140"/>
    </row>
    <row r="12" ht="21.75" customHeight="1" spans="1:9">
      <c r="A12" s="136" t="s">
        <v>531</v>
      </c>
      <c r="B12" s="138"/>
      <c r="C12" s="138"/>
      <c r="D12" s="138"/>
      <c r="E12" s="138"/>
      <c r="F12" s="138"/>
      <c r="G12" s="146" t="s">
        <v>532</v>
      </c>
      <c r="H12" s="138"/>
    </row>
    <row r="13" ht="21.75" customHeight="1" spans="1:9">
      <c r="A13" s="136" t="s">
        <v>533</v>
      </c>
      <c r="B13" s="140"/>
      <c r="C13" s="140"/>
      <c r="D13" s="140"/>
      <c r="E13" s="140"/>
      <c r="F13" s="140"/>
      <c r="G13" s="140"/>
      <c r="H13" s="140"/>
    </row>
    <row r="14" ht="21.75" customHeight="1" spans="1:9">
      <c r="A14" s="136" t="s">
        <v>534</v>
      </c>
      <c r="B14" s="138"/>
      <c r="C14" s="138"/>
      <c r="D14" s="138"/>
      <c r="E14" s="138"/>
      <c r="F14" s="138"/>
      <c r="G14" s="138"/>
      <c r="H14" s="147" t="s">
        <v>535</v>
      </c>
    </row>
    <row r="15" ht="21.75" customHeight="1" spans="1:9">
      <c r="A15" s="136" t="s">
        <v>536</v>
      </c>
      <c r="B15" s="137" t="s">
        <v>537</v>
      </c>
      <c r="C15" s="137" t="s">
        <v>537</v>
      </c>
      <c r="D15" s="140"/>
      <c r="E15" s="137" t="s">
        <v>537</v>
      </c>
      <c r="F15" s="137" t="s">
        <v>537</v>
      </c>
      <c r="G15" s="140"/>
      <c r="H15" s="140"/>
    </row>
    <row r="16" ht="21.75" customHeight="1" spans="1:9">
      <c r="A16" s="136" t="s">
        <v>538</v>
      </c>
      <c r="B16" s="138"/>
      <c r="C16" s="138"/>
      <c r="D16" s="138"/>
      <c r="E16" s="138"/>
      <c r="F16" s="138"/>
      <c r="G16" s="138"/>
      <c r="H16" s="138"/>
    </row>
    <row r="17" ht="21.75" customHeight="1" spans="1:8">
      <c r="A17" s="136" t="s">
        <v>539</v>
      </c>
      <c r="B17" s="144" t="s">
        <v>540</v>
      </c>
      <c r="C17" s="144" t="s">
        <v>540</v>
      </c>
      <c r="D17" s="144" t="s">
        <v>540</v>
      </c>
      <c r="E17" s="144" t="s">
        <v>540</v>
      </c>
      <c r="F17" s="144" t="s">
        <v>540</v>
      </c>
      <c r="G17" s="140"/>
      <c r="H17" s="140"/>
    </row>
    <row r="18" ht="21.75" customHeight="1" spans="1:8">
      <c r="A18" s="136" t="s">
        <v>541</v>
      </c>
      <c r="B18" s="138"/>
      <c r="C18" s="138"/>
      <c r="D18" s="138"/>
      <c r="E18" s="138"/>
      <c r="F18" s="138"/>
      <c r="G18" s="139" t="s">
        <v>542</v>
      </c>
      <c r="H18" s="148" t="s">
        <v>543</v>
      </c>
    </row>
    <row r="19" ht="21.75" customHeight="1" spans="1:8">
      <c r="A19" s="136" t="s">
        <v>544</v>
      </c>
      <c r="B19" s="140"/>
      <c r="C19" s="140"/>
      <c r="D19" s="140"/>
      <c r="E19" s="140"/>
      <c r="F19" s="140"/>
      <c r="G19" s="140"/>
      <c r="H19" s="140"/>
    </row>
  </sheetData>
  <mergeCells count="2">
    <mergeCell ref="A1:I1"/>
    <mergeCell ref="A2:I2"/>
  </mergeCells>
  <pageMargins left="0.25" right="0.25" top="0.4" bottom="0.4" header="0.511811023622047" footer="0.511811023622047"/>
  <pageSetup paperSize="1" fitToHeight="0" orientation="landscape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A580C"/>
    <pageSetUpPr fitToPage="1"/>
  </sheetPr>
  <dimension ref="A1:I31"/>
  <sheetViews>
    <sheetView showGridLines="0" zoomScale="90" zoomScaleNormal="90" workbookViewId="0">
      <pane ySplit="4" topLeftCell="A5" activePane="bottomLeft" state="frozen"/>
      <selection/>
      <selection pane="bottomLeft" activeCell="A1" sqref="A1:I1"/>
    </sheetView>
  </sheetViews>
  <sheetFormatPr defaultColWidth="8.68181818181818" defaultRowHeight="14.5"/>
  <cols>
    <col min="1" max="1" width="4" customWidth="1"/>
    <col min="2" max="2" width="30" customWidth="1"/>
    <col min="3" max="3" width="14" customWidth="1"/>
    <col min="4" max="4" width="12" customWidth="1"/>
    <col min="5" max="6" width="16" customWidth="1"/>
    <col min="7" max="8" width="10" customWidth="1"/>
    <col min="9" max="9" width="20" customWidth="1"/>
  </cols>
  <sheetData>
    <row r="1" ht="31.5" customHeight="1" spans="1:9">
      <c r="A1" s="119" t="s">
        <v>545</v>
      </c>
      <c r="B1" s="119"/>
      <c r="C1" s="119"/>
      <c r="D1" s="119"/>
      <c r="E1" s="119"/>
      <c r="F1" s="119"/>
      <c r="G1" s="119"/>
      <c r="H1" s="119"/>
      <c r="I1" s="119"/>
    </row>
    <row r="2" ht="15.75" customHeight="1" spans="1:9">
      <c r="A2" s="22" t="s">
        <v>546</v>
      </c>
      <c r="B2" s="22"/>
      <c r="C2" s="22"/>
      <c r="D2" s="22"/>
      <c r="E2" s="22"/>
      <c r="F2" s="22"/>
      <c r="G2" s="22"/>
      <c r="H2" s="22"/>
      <c r="I2" s="22"/>
    </row>
    <row r="4" ht="21.75" customHeight="1" spans="1:9">
      <c r="A4" s="49" t="s">
        <v>183</v>
      </c>
      <c r="B4" s="49" t="s">
        <v>547</v>
      </c>
      <c r="C4" s="28" t="s">
        <v>548</v>
      </c>
      <c r="D4" s="28" t="s">
        <v>549</v>
      </c>
      <c r="E4" s="59" t="s">
        <v>186</v>
      </c>
      <c r="F4" s="27" t="s">
        <v>313</v>
      </c>
      <c r="G4" s="60" t="s">
        <v>550</v>
      </c>
      <c r="H4" s="50" t="s">
        <v>551</v>
      </c>
      <c r="I4" s="24" t="s">
        <v>552</v>
      </c>
    </row>
    <row r="5" ht="19.5" customHeight="1" spans="1:9">
      <c r="A5" s="120">
        <v>1</v>
      </c>
      <c r="B5" s="34" t="s">
        <v>553</v>
      </c>
      <c r="C5" s="121" t="s">
        <v>273</v>
      </c>
      <c r="D5" s="122" t="s">
        <v>99</v>
      </c>
      <c r="E5" s="37" t="s">
        <v>121</v>
      </c>
      <c r="F5" s="6" t="s">
        <v>108</v>
      </c>
      <c r="G5" s="120">
        <v>2</v>
      </c>
      <c r="H5" s="120">
        <v>1.5</v>
      </c>
      <c r="I5" s="37" t="s">
        <v>554</v>
      </c>
    </row>
    <row r="6" ht="19.5" customHeight="1" spans="1:9">
      <c r="A6" s="123">
        <v>2</v>
      </c>
      <c r="B6" s="29" t="s">
        <v>555</v>
      </c>
      <c r="C6" s="124" t="s">
        <v>277</v>
      </c>
      <c r="D6" s="62" t="s">
        <v>107</v>
      </c>
      <c r="E6" s="32" t="s">
        <v>112</v>
      </c>
      <c r="F6" s="125" t="s">
        <v>100</v>
      </c>
      <c r="G6" s="123">
        <v>1</v>
      </c>
      <c r="H6" s="123">
        <v>0</v>
      </c>
      <c r="I6" s="32" t="s">
        <v>556</v>
      </c>
    </row>
    <row r="7" ht="19.5" customHeight="1" spans="1:9">
      <c r="A7" s="120">
        <v>3</v>
      </c>
      <c r="B7" s="34" t="s">
        <v>557</v>
      </c>
      <c r="C7" s="121" t="s">
        <v>558</v>
      </c>
      <c r="D7" s="122" t="s">
        <v>99</v>
      </c>
      <c r="E7" s="37" t="s">
        <v>121</v>
      </c>
      <c r="F7" s="6" t="s">
        <v>108</v>
      </c>
      <c r="G7" s="120">
        <v>1.5</v>
      </c>
      <c r="H7" s="120">
        <v>0.5</v>
      </c>
      <c r="I7" s="37" t="s">
        <v>559</v>
      </c>
    </row>
    <row r="8" ht="19.5" customHeight="1" spans="1:9">
      <c r="A8" s="123">
        <v>4</v>
      </c>
      <c r="B8" s="29" t="s">
        <v>560</v>
      </c>
      <c r="C8" s="124" t="s">
        <v>206</v>
      </c>
      <c r="D8" s="4" t="s">
        <v>114</v>
      </c>
      <c r="E8" s="32" t="s">
        <v>106</v>
      </c>
      <c r="F8" s="125" t="s">
        <v>100</v>
      </c>
      <c r="G8" s="123">
        <v>3</v>
      </c>
      <c r="H8" s="123">
        <v>0</v>
      </c>
      <c r="I8" s="32" t="s">
        <v>561</v>
      </c>
    </row>
    <row r="9" ht="19.5" customHeight="1" spans="1:9">
      <c r="A9" s="120">
        <v>5</v>
      </c>
      <c r="B9" s="34" t="s">
        <v>562</v>
      </c>
      <c r="C9" s="121" t="s">
        <v>563</v>
      </c>
      <c r="D9" s="6" t="s">
        <v>114</v>
      </c>
      <c r="E9" s="37" t="s">
        <v>129</v>
      </c>
      <c r="F9" s="126" t="s">
        <v>100</v>
      </c>
      <c r="G9" s="120">
        <v>2</v>
      </c>
      <c r="H9" s="120">
        <v>0</v>
      </c>
      <c r="I9" s="37"/>
    </row>
    <row r="10" ht="19.5" customHeight="1" spans="1:9">
      <c r="A10" s="123">
        <v>6</v>
      </c>
      <c r="B10" s="29" t="s">
        <v>564</v>
      </c>
      <c r="C10" s="124" t="s">
        <v>275</v>
      </c>
      <c r="D10" s="62" t="s">
        <v>107</v>
      </c>
      <c r="E10" s="32" t="s">
        <v>121</v>
      </c>
      <c r="F10" s="11" t="s">
        <v>115</v>
      </c>
      <c r="G10" s="123">
        <v>1</v>
      </c>
      <c r="H10" s="123">
        <v>1</v>
      </c>
      <c r="I10" s="32" t="s">
        <v>565</v>
      </c>
    </row>
    <row r="11" ht="19.5" customHeight="1" spans="1:9">
      <c r="A11" s="120">
        <v>7</v>
      </c>
      <c r="B11" s="34" t="s">
        <v>566</v>
      </c>
      <c r="C11" s="121" t="s">
        <v>284</v>
      </c>
      <c r="D11" s="127" t="s">
        <v>107</v>
      </c>
      <c r="E11" s="37" t="s">
        <v>112</v>
      </c>
      <c r="F11" s="126" t="s">
        <v>100</v>
      </c>
      <c r="G11" s="120">
        <v>2</v>
      </c>
      <c r="H11" s="120">
        <v>0</v>
      </c>
      <c r="I11" s="37"/>
    </row>
    <row r="12" ht="19.5" customHeight="1" spans="1:9">
      <c r="A12" s="123">
        <v>8</v>
      </c>
      <c r="B12" s="29" t="s">
        <v>567</v>
      </c>
      <c r="C12" s="124" t="s">
        <v>292</v>
      </c>
      <c r="D12" s="4" t="s">
        <v>114</v>
      </c>
      <c r="E12" s="32" t="s">
        <v>106</v>
      </c>
      <c r="F12" s="4" t="s">
        <v>108</v>
      </c>
      <c r="G12" s="123">
        <v>4</v>
      </c>
      <c r="H12" s="123">
        <v>2</v>
      </c>
      <c r="I12" s="32" t="s">
        <v>568</v>
      </c>
    </row>
    <row r="13" ht="19.5" customHeight="1" spans="1:9">
      <c r="A13" s="120">
        <v>9</v>
      </c>
      <c r="B13" s="34" t="s">
        <v>569</v>
      </c>
      <c r="C13" s="121" t="s">
        <v>570</v>
      </c>
      <c r="D13" s="6" t="s">
        <v>114</v>
      </c>
      <c r="E13" s="37" t="s">
        <v>113</v>
      </c>
      <c r="F13" s="6" t="s">
        <v>108</v>
      </c>
      <c r="G13" s="120">
        <v>3</v>
      </c>
      <c r="H13" s="120">
        <v>1</v>
      </c>
      <c r="I13" s="37"/>
    </row>
    <row r="14" ht="19.5" customHeight="1" spans="1:9">
      <c r="A14" s="123">
        <v>10</v>
      </c>
      <c r="B14" s="29" t="s">
        <v>571</v>
      </c>
      <c r="C14" s="124" t="s">
        <v>271</v>
      </c>
      <c r="D14" s="62" t="s">
        <v>107</v>
      </c>
      <c r="E14" s="32" t="s">
        <v>97</v>
      </c>
      <c r="F14" s="11" t="s">
        <v>115</v>
      </c>
      <c r="G14" s="123">
        <v>0.5</v>
      </c>
      <c r="H14" s="123">
        <v>0.5</v>
      </c>
      <c r="I14" s="32" t="s">
        <v>572</v>
      </c>
    </row>
    <row r="15" ht="19.5" customHeight="1" spans="1:9">
      <c r="A15" s="120">
        <v>11</v>
      </c>
      <c r="B15" s="34" t="s">
        <v>573</v>
      </c>
      <c r="C15" s="121" t="s">
        <v>574</v>
      </c>
      <c r="D15" s="6" t="s">
        <v>114</v>
      </c>
      <c r="E15" s="37" t="s">
        <v>113</v>
      </c>
      <c r="F15" s="6" t="s">
        <v>108</v>
      </c>
      <c r="G15" s="120">
        <v>20</v>
      </c>
      <c r="H15" s="120">
        <v>8</v>
      </c>
      <c r="I15" s="37" t="s">
        <v>575</v>
      </c>
    </row>
    <row r="16" ht="19.5" customHeight="1" spans="1:9">
      <c r="A16" s="123">
        <v>12</v>
      </c>
      <c r="B16" s="29" t="s">
        <v>576</v>
      </c>
      <c r="C16" s="124" t="s">
        <v>271</v>
      </c>
      <c r="D16" s="62" t="s">
        <v>107</v>
      </c>
      <c r="E16" s="32" t="s">
        <v>136</v>
      </c>
      <c r="F16" s="11" t="s">
        <v>115</v>
      </c>
      <c r="G16" s="123">
        <v>1</v>
      </c>
      <c r="H16" s="123">
        <v>1</v>
      </c>
      <c r="I16" s="32" t="s">
        <v>577</v>
      </c>
    </row>
    <row r="17" ht="19.5" customHeight="1" spans="1:9">
      <c r="A17" s="120">
        <v>13</v>
      </c>
      <c r="B17" s="34" t="s">
        <v>578</v>
      </c>
      <c r="C17" s="121" t="s">
        <v>570</v>
      </c>
      <c r="D17" s="6" t="s">
        <v>114</v>
      </c>
      <c r="E17" s="37" t="s">
        <v>97</v>
      </c>
      <c r="F17" s="126" t="s">
        <v>100</v>
      </c>
      <c r="G17" s="120">
        <v>2</v>
      </c>
      <c r="H17" s="120">
        <v>0</v>
      </c>
      <c r="I17" s="37"/>
    </row>
    <row r="18" ht="19.5" customHeight="1" spans="1:9">
      <c r="A18" s="123">
        <v>14</v>
      </c>
      <c r="B18" s="29" t="s">
        <v>579</v>
      </c>
      <c r="C18" s="124" t="s">
        <v>558</v>
      </c>
      <c r="D18" s="62" t="s">
        <v>107</v>
      </c>
      <c r="E18" s="32" t="s">
        <v>106</v>
      </c>
      <c r="F18" s="125" t="s">
        <v>100</v>
      </c>
      <c r="G18" s="123">
        <v>1</v>
      </c>
      <c r="H18" s="123">
        <v>0</v>
      </c>
      <c r="I18" s="32" t="s">
        <v>580</v>
      </c>
    </row>
    <row r="19" ht="19.5" customHeight="1" spans="1:9">
      <c r="A19" s="120">
        <v>15</v>
      </c>
      <c r="B19" s="34" t="s">
        <v>581</v>
      </c>
      <c r="C19" s="121" t="s">
        <v>582</v>
      </c>
      <c r="D19" s="122" t="s">
        <v>99</v>
      </c>
      <c r="E19" s="37" t="s">
        <v>98</v>
      </c>
      <c r="F19" s="10" t="s">
        <v>115</v>
      </c>
      <c r="G19" s="120">
        <v>3</v>
      </c>
      <c r="H19" s="120">
        <v>3.5</v>
      </c>
      <c r="I19" s="37" t="s">
        <v>583</v>
      </c>
    </row>
    <row r="20" ht="19.5" customHeight="1" spans="1:9">
      <c r="A20" s="123">
        <v>16</v>
      </c>
      <c r="B20" s="29" t="s">
        <v>584</v>
      </c>
      <c r="C20" s="124" t="s">
        <v>287</v>
      </c>
      <c r="D20" s="62" t="s">
        <v>107</v>
      </c>
      <c r="E20" s="32" t="s">
        <v>112</v>
      </c>
      <c r="F20" s="125" t="s">
        <v>100</v>
      </c>
      <c r="G20" s="123">
        <v>4</v>
      </c>
      <c r="H20" s="123">
        <v>0</v>
      </c>
      <c r="I20" s="32"/>
    </row>
    <row r="21" ht="19.5" customHeight="1" spans="1:9">
      <c r="A21" s="120">
        <v>17</v>
      </c>
      <c r="B21" s="34" t="s">
        <v>585</v>
      </c>
      <c r="C21" s="121" t="s">
        <v>438</v>
      </c>
      <c r="D21" s="122" t="s">
        <v>99</v>
      </c>
      <c r="E21" s="37" t="s">
        <v>121</v>
      </c>
      <c r="F21" s="126" t="s">
        <v>100</v>
      </c>
      <c r="G21" s="120">
        <v>3</v>
      </c>
      <c r="H21" s="120">
        <v>0</v>
      </c>
      <c r="I21" s="37" t="s">
        <v>586</v>
      </c>
    </row>
    <row r="22" ht="19.5" customHeight="1" spans="1:9">
      <c r="A22" s="123">
        <v>18</v>
      </c>
      <c r="B22" s="29" t="s">
        <v>587</v>
      </c>
      <c r="C22" s="124" t="s">
        <v>214</v>
      </c>
      <c r="D22" s="62" t="s">
        <v>107</v>
      </c>
      <c r="E22" s="32" t="s">
        <v>98</v>
      </c>
      <c r="F22" s="4" t="s">
        <v>108</v>
      </c>
      <c r="G22" s="123">
        <v>30</v>
      </c>
      <c r="H22" s="123">
        <v>12</v>
      </c>
      <c r="I22" s="32" t="s">
        <v>588</v>
      </c>
    </row>
    <row r="23" ht="19.5" customHeight="1" spans="1:9">
      <c r="A23" s="120">
        <v>19</v>
      </c>
      <c r="B23" s="34" t="s">
        <v>589</v>
      </c>
      <c r="C23" s="121" t="s">
        <v>277</v>
      </c>
      <c r="D23" s="10" t="s">
        <v>122</v>
      </c>
      <c r="E23" s="37" t="s">
        <v>129</v>
      </c>
      <c r="F23" s="126" t="s">
        <v>100</v>
      </c>
      <c r="G23" s="120">
        <v>3</v>
      </c>
      <c r="H23" s="120">
        <v>0</v>
      </c>
      <c r="I23" s="37"/>
    </row>
    <row r="24" ht="19.5" customHeight="1" spans="1:9">
      <c r="A24" s="123">
        <v>20</v>
      </c>
      <c r="B24" s="29" t="s">
        <v>590</v>
      </c>
      <c r="C24" s="124" t="s">
        <v>280</v>
      </c>
      <c r="D24" s="62" t="s">
        <v>107</v>
      </c>
      <c r="E24" s="32" t="s">
        <v>136</v>
      </c>
      <c r="F24" s="125" t="s">
        <v>100</v>
      </c>
      <c r="G24" s="123">
        <v>0.5</v>
      </c>
      <c r="H24" s="123">
        <v>0</v>
      </c>
      <c r="I24" s="32" t="s">
        <v>591</v>
      </c>
    </row>
    <row r="25" ht="21.75" customHeight="1" spans="1:9">
      <c r="A25" s="23" t="s">
        <v>592</v>
      </c>
      <c r="B25" s="23"/>
      <c r="C25" s="23"/>
      <c r="D25" s="23"/>
      <c r="E25" s="23"/>
      <c r="F25" s="23"/>
      <c r="G25" s="23"/>
      <c r="H25" s="23"/>
      <c r="I25" s="23"/>
    </row>
    <row r="26" spans="1:9">
      <c r="A26" s="80" t="s">
        <v>313</v>
      </c>
      <c r="B26" s="80"/>
      <c r="C26" s="24" t="s">
        <v>593</v>
      </c>
      <c r="D26" s="24" t="s">
        <v>238</v>
      </c>
    </row>
    <row r="27" ht="18" customHeight="1" spans="1:9">
      <c r="A27" s="128" t="s">
        <v>100</v>
      </c>
      <c r="B27" s="128"/>
      <c r="C27" s="123">
        <f>COUNTIF(F5:F24,A27)</f>
        <v>10</v>
      </c>
      <c r="D27" s="129">
        <f>IFERROR(C27/SUM(C27:C31),0)</f>
        <v>0.5</v>
      </c>
    </row>
    <row r="28" ht="18" customHeight="1" spans="1:9">
      <c r="A28" s="130" t="s">
        <v>108</v>
      </c>
      <c r="B28" s="130"/>
      <c r="C28" s="120">
        <f>COUNTIF(F5:F24,A28)</f>
        <v>6</v>
      </c>
      <c r="D28" s="131">
        <f>IFERROR(C28/SUM(C27:C31),0)</f>
        <v>0.3</v>
      </c>
    </row>
    <row r="29" ht="18" customHeight="1" spans="1:9">
      <c r="A29" s="132" t="s">
        <v>115</v>
      </c>
      <c r="B29" s="132"/>
      <c r="C29" s="123">
        <f>COUNTIF(F5:F24,A29)</f>
        <v>4</v>
      </c>
      <c r="D29" s="129">
        <f>IFERROR(C29/SUM(C27:C31),0)</f>
        <v>0.2</v>
      </c>
    </row>
    <row r="30" ht="18" customHeight="1" spans="1:9">
      <c r="A30" s="133" t="s">
        <v>123</v>
      </c>
      <c r="B30" s="133"/>
      <c r="C30" s="120">
        <f>COUNTIF(F5:F24,A30)</f>
        <v>0</v>
      </c>
      <c r="D30" s="131">
        <f>IFERROR(C30/SUM(C27:C31),0)</f>
        <v>0</v>
      </c>
    </row>
    <row r="31" ht="18" customHeight="1" spans="1:9">
      <c r="A31" s="134" t="s">
        <v>131</v>
      </c>
      <c r="B31" s="134"/>
      <c r="C31" s="123">
        <f>COUNTIF(F5:F24,A31)</f>
        <v>0</v>
      </c>
      <c r="D31" s="129">
        <f>IFERROR(C31/SUM(C27:C31),0)</f>
        <v>0</v>
      </c>
    </row>
  </sheetData>
  <mergeCells count="9">
    <mergeCell ref="A1:I1"/>
    <mergeCell ref="A2:I2"/>
    <mergeCell ref="A25:I25"/>
    <mergeCell ref="A26:B26"/>
    <mergeCell ref="A27:B27"/>
    <mergeCell ref="A28:B28"/>
    <mergeCell ref="A29:B29"/>
    <mergeCell ref="A30:B30"/>
    <mergeCell ref="A31:B31"/>
  </mergeCells>
  <dataValidations count="3">
    <dataValidation type="list" showInputMessage="1" showErrorMessage="1" sqref="D5:D200">
      <formula1>SETUP!$G$4:$G$8</formula1>
    </dataValidation>
    <dataValidation type="list" showInputMessage="1" showErrorMessage="1" sqref="E5:E200">
      <formula1>SETUP!$F$4:$F$13</formula1>
    </dataValidation>
    <dataValidation type="list" showInputMessage="1" showErrorMessage="1" sqref="F5:F200">
      <formula1>SETUP!$H$4:$H$8</formula1>
    </dataValidation>
  </dataValidations>
  <pageMargins left="0.25" right="0.25" top="0.4" bottom="0.4" header="0.511811023622047" footer="0.511811023622047"/>
  <pageSetup paperSize="1" fitToHeight="0" orientation="landscape" horizontalDpi="300" verticalDpi="300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C2626"/>
    <pageSetUpPr fitToPage="1"/>
  </sheetPr>
  <dimension ref="A1:P28"/>
  <sheetViews>
    <sheetView showGridLines="0" zoomScale="90" zoomScaleNormal="90" workbookViewId="0">
      <selection activeCell="A1" sqref="A1:P1"/>
    </sheetView>
  </sheetViews>
  <sheetFormatPr defaultColWidth="8.68181818181818" defaultRowHeight="14.5"/>
  <cols>
    <col min="1" max="17" width="17" customWidth="1"/>
  </cols>
  <sheetData>
    <row r="1" ht="31.5" customHeight="1" spans="1:16">
      <c r="A1" s="87" t="s">
        <v>594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3" ht="21.75" customHeight="1" spans="1:16">
      <c r="A3" s="23" t="s">
        <v>595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ht="33.75" customHeight="1" spans="1:16">
      <c r="A4" s="88" t="s">
        <v>596</v>
      </c>
      <c r="B4" s="88"/>
      <c r="C4" s="88"/>
      <c r="D4" s="88"/>
      <c r="E4" s="88"/>
      <c r="F4" s="88"/>
      <c r="G4" s="88"/>
      <c r="I4" s="89" t="s">
        <v>597</v>
      </c>
      <c r="J4" s="89"/>
      <c r="K4" s="89"/>
      <c r="L4" s="89"/>
      <c r="M4" s="89"/>
      <c r="N4" s="89"/>
      <c r="O4" s="89"/>
    </row>
    <row r="5" ht="21.75" customHeight="1" spans="1:16">
      <c r="A5" s="90" t="s">
        <v>598</v>
      </c>
      <c r="B5" s="90"/>
      <c r="C5" s="90"/>
      <c r="D5" s="90"/>
      <c r="E5" s="90"/>
      <c r="F5" s="90"/>
      <c r="G5" s="90"/>
      <c r="I5" s="91" t="s">
        <v>599</v>
      </c>
      <c r="J5" s="91"/>
      <c r="K5" s="91"/>
      <c r="L5" s="91"/>
      <c r="M5" s="91"/>
      <c r="N5" s="91"/>
      <c r="O5" s="91"/>
    </row>
    <row r="6" ht="21.75" customHeight="1" spans="1:16">
      <c r="A6" s="92" t="s">
        <v>600</v>
      </c>
      <c r="B6" s="92"/>
      <c r="C6" s="92"/>
      <c r="D6" s="92"/>
      <c r="E6" s="92"/>
      <c r="F6" s="92"/>
      <c r="G6" s="92"/>
      <c r="I6" s="93" t="s">
        <v>601</v>
      </c>
      <c r="J6" s="93"/>
      <c r="K6" s="93"/>
      <c r="L6" s="93"/>
      <c r="M6" s="93"/>
      <c r="N6" s="93"/>
      <c r="O6" s="93"/>
    </row>
    <row r="7" ht="21.75" customHeight="1" spans="1:16">
      <c r="A7" s="90" t="s">
        <v>602</v>
      </c>
      <c r="B7" s="90"/>
      <c r="C7" s="90"/>
      <c r="D7" s="90"/>
      <c r="E7" s="90"/>
      <c r="F7" s="90"/>
      <c r="G7" s="90"/>
      <c r="I7" s="91" t="s">
        <v>603</v>
      </c>
      <c r="J7" s="91"/>
      <c r="K7" s="91"/>
      <c r="L7" s="91"/>
      <c r="M7" s="91"/>
      <c r="N7" s="91"/>
      <c r="O7" s="91"/>
    </row>
    <row r="8" ht="21.75" customHeight="1" spans="1:16">
      <c r="A8" s="92" t="s">
        <v>604</v>
      </c>
      <c r="B8" s="92"/>
      <c r="C8" s="92"/>
      <c r="D8" s="92"/>
      <c r="E8" s="92"/>
      <c r="F8" s="92"/>
      <c r="G8" s="92"/>
      <c r="I8" s="93" t="s">
        <v>605</v>
      </c>
      <c r="J8" s="93"/>
      <c r="K8" s="93"/>
      <c r="L8" s="93"/>
      <c r="M8" s="93"/>
      <c r="N8" s="93"/>
      <c r="O8" s="93"/>
    </row>
    <row r="9" ht="21.75" customHeight="1" spans="1:16">
      <c r="A9" s="90" t="s">
        <v>606</v>
      </c>
      <c r="B9" s="90"/>
      <c r="C9" s="90"/>
      <c r="D9" s="90"/>
      <c r="E9" s="90"/>
      <c r="F9" s="90"/>
      <c r="G9" s="90"/>
      <c r="I9" s="91" t="s">
        <v>607</v>
      </c>
      <c r="J9" s="91"/>
      <c r="K9" s="91"/>
      <c r="L9" s="91"/>
      <c r="M9" s="91"/>
      <c r="N9" s="91"/>
      <c r="O9" s="91"/>
    </row>
    <row r="13" ht="33.75" customHeight="1" spans="1:16">
      <c r="A13" s="94" t="s">
        <v>608</v>
      </c>
      <c r="B13" s="94"/>
      <c r="C13" s="94"/>
      <c r="D13" s="94"/>
      <c r="E13" s="94"/>
      <c r="F13" s="94"/>
      <c r="G13" s="94"/>
      <c r="I13" s="95" t="s">
        <v>609</v>
      </c>
      <c r="J13" s="95"/>
      <c r="K13" s="95"/>
      <c r="L13" s="95"/>
      <c r="M13" s="95"/>
      <c r="N13" s="95"/>
      <c r="O13" s="95"/>
    </row>
    <row r="14" ht="21.75" customHeight="1" spans="1:16">
      <c r="A14" s="96" t="s">
        <v>610</v>
      </c>
      <c r="B14" s="96"/>
      <c r="C14" s="96"/>
      <c r="D14" s="96"/>
      <c r="E14" s="96"/>
      <c r="F14" s="96"/>
      <c r="G14" s="96"/>
      <c r="I14" s="97" t="s">
        <v>611</v>
      </c>
      <c r="J14" s="97"/>
      <c r="K14" s="97"/>
      <c r="L14" s="97"/>
      <c r="M14" s="97"/>
      <c r="N14" s="97"/>
      <c r="O14" s="97"/>
    </row>
    <row r="15" ht="21.75" customHeight="1" spans="1:16">
      <c r="A15" s="98" t="s">
        <v>612</v>
      </c>
      <c r="B15" s="98"/>
      <c r="C15" s="98"/>
      <c r="D15" s="98"/>
      <c r="E15" s="98"/>
      <c r="F15" s="98"/>
      <c r="G15" s="98"/>
      <c r="I15" s="99" t="s">
        <v>613</v>
      </c>
      <c r="J15" s="99"/>
      <c r="K15" s="99"/>
      <c r="L15" s="99"/>
      <c r="M15" s="99"/>
      <c r="N15" s="99"/>
      <c r="O15" s="99"/>
    </row>
    <row r="16" ht="21.75" customHeight="1" spans="1:16">
      <c r="A16" s="96" t="s">
        <v>614</v>
      </c>
      <c r="B16" s="96"/>
      <c r="C16" s="96"/>
      <c r="D16" s="96"/>
      <c r="E16" s="96"/>
      <c r="F16" s="96"/>
      <c r="G16" s="96"/>
      <c r="I16" s="97" t="s">
        <v>615</v>
      </c>
      <c r="J16" s="97"/>
      <c r="K16" s="97"/>
      <c r="L16" s="97"/>
      <c r="M16" s="97"/>
      <c r="N16" s="97"/>
      <c r="O16" s="97"/>
    </row>
    <row r="17" ht="21.75" customHeight="1" spans="1:16">
      <c r="A17" s="98" t="s">
        <v>616</v>
      </c>
      <c r="B17" s="98"/>
      <c r="C17" s="98"/>
      <c r="D17" s="98"/>
      <c r="E17" s="98"/>
      <c r="F17" s="98"/>
      <c r="G17" s="98"/>
      <c r="I17" s="99" t="s">
        <v>617</v>
      </c>
      <c r="J17" s="99"/>
      <c r="K17" s="99"/>
      <c r="L17" s="99"/>
      <c r="M17" s="99"/>
      <c r="N17" s="99"/>
      <c r="O17" s="99"/>
    </row>
    <row r="18" ht="21.75" customHeight="1" spans="1:16">
      <c r="A18" s="96" t="s">
        <v>618</v>
      </c>
      <c r="B18" s="96"/>
      <c r="C18" s="96"/>
      <c r="D18" s="96"/>
      <c r="E18" s="96"/>
      <c r="F18" s="96"/>
      <c r="G18" s="96"/>
      <c r="I18" s="97" t="s">
        <v>619</v>
      </c>
      <c r="J18" s="97"/>
      <c r="K18" s="97"/>
      <c r="L18" s="97"/>
      <c r="M18" s="97"/>
      <c r="N18" s="97"/>
      <c r="O18" s="97"/>
    </row>
    <row r="22" ht="21.75" customHeight="1" spans="1:16">
      <c r="A22" s="12" t="s">
        <v>620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ht="25.5" customHeight="1" spans="1:16">
      <c r="A23" s="100" t="s">
        <v>621</v>
      </c>
      <c r="B23" s="100"/>
      <c r="C23" s="100"/>
      <c r="E23" s="101" t="s">
        <v>622</v>
      </c>
      <c r="F23" s="101"/>
      <c r="G23" s="101"/>
      <c r="I23" s="102" t="s">
        <v>623</v>
      </c>
      <c r="J23" s="102"/>
      <c r="K23" s="102"/>
      <c r="M23" s="103" t="s">
        <v>624</v>
      </c>
      <c r="N23" s="103"/>
      <c r="O23" s="103"/>
    </row>
    <row r="24" ht="21.75" customHeight="1" spans="1:16">
      <c r="A24" s="104" t="s">
        <v>625</v>
      </c>
      <c r="B24" s="104"/>
      <c r="C24" s="104"/>
      <c r="E24" s="105" t="s">
        <v>626</v>
      </c>
      <c r="F24" s="105"/>
      <c r="G24" s="105"/>
      <c r="I24" s="106" t="s">
        <v>627</v>
      </c>
      <c r="J24" s="106"/>
      <c r="K24" s="106"/>
      <c r="M24" s="107" t="s">
        <v>628</v>
      </c>
      <c r="N24" s="107"/>
      <c r="O24" s="107"/>
    </row>
    <row r="25" ht="21.75" customHeight="1" spans="1:16">
      <c r="A25" s="108" t="s">
        <v>629</v>
      </c>
      <c r="B25" s="108"/>
      <c r="C25" s="108"/>
      <c r="E25" s="109" t="s">
        <v>630</v>
      </c>
      <c r="F25" s="109"/>
      <c r="G25" s="109"/>
      <c r="I25" s="110" t="s">
        <v>631</v>
      </c>
      <c r="J25" s="110"/>
      <c r="K25" s="110"/>
      <c r="M25" s="111" t="s">
        <v>632</v>
      </c>
      <c r="N25" s="111"/>
      <c r="O25" s="111"/>
    </row>
    <row r="26" ht="21.75" customHeight="1" spans="1:16">
      <c r="A26" s="112" t="s">
        <v>633</v>
      </c>
      <c r="B26" s="112"/>
      <c r="C26" s="112"/>
      <c r="E26" s="105" t="s">
        <v>634</v>
      </c>
      <c r="F26" s="105"/>
      <c r="G26" s="105"/>
      <c r="I26" s="113" t="s">
        <v>635</v>
      </c>
      <c r="J26" s="113"/>
      <c r="K26" s="113"/>
      <c r="M26" s="114" t="s">
        <v>636</v>
      </c>
      <c r="N26" s="114"/>
      <c r="O26" s="114"/>
    </row>
    <row r="27" ht="21.75" customHeight="1" spans="1:16">
      <c r="A27" s="115" t="s">
        <v>637</v>
      </c>
      <c r="B27" s="115"/>
      <c r="C27" s="115"/>
      <c r="E27" s="116" t="s">
        <v>638</v>
      </c>
      <c r="F27" s="116"/>
      <c r="G27" s="116"/>
      <c r="I27" s="110" t="s">
        <v>639</v>
      </c>
      <c r="J27" s="110"/>
      <c r="K27" s="110"/>
      <c r="M27" s="117" t="s">
        <v>640</v>
      </c>
      <c r="N27" s="117"/>
      <c r="O27" s="117"/>
    </row>
    <row r="28" ht="21.75" customHeight="1" spans="1:16">
      <c r="A28" s="112" t="s">
        <v>641</v>
      </c>
      <c r="B28" s="112"/>
      <c r="C28" s="112"/>
      <c r="E28" s="105" t="s">
        <v>642</v>
      </c>
      <c r="F28" s="105"/>
      <c r="G28" s="105"/>
      <c r="I28" s="118" t="s">
        <v>643</v>
      </c>
      <c r="J28" s="118"/>
      <c r="K28" s="118"/>
      <c r="M28" s="107" t="s">
        <v>644</v>
      </c>
      <c r="N28" s="107"/>
      <c r="O28" s="107"/>
    </row>
  </sheetData>
  <mergeCells count="51">
    <mergeCell ref="A1:P1"/>
    <mergeCell ref="A3:P3"/>
    <mergeCell ref="A4:G4"/>
    <mergeCell ref="I4:O4"/>
    <mergeCell ref="A5:G5"/>
    <mergeCell ref="I5:O5"/>
    <mergeCell ref="A6:G6"/>
    <mergeCell ref="I6:O6"/>
    <mergeCell ref="A7:G7"/>
    <mergeCell ref="I7:O7"/>
    <mergeCell ref="A8:G8"/>
    <mergeCell ref="I8:O8"/>
    <mergeCell ref="A9:G9"/>
    <mergeCell ref="I9:O9"/>
    <mergeCell ref="A13:G13"/>
    <mergeCell ref="I13:O13"/>
    <mergeCell ref="A14:G14"/>
    <mergeCell ref="I14:O14"/>
    <mergeCell ref="A15:G15"/>
    <mergeCell ref="I15:O15"/>
    <mergeCell ref="A16:G16"/>
    <mergeCell ref="I16:O16"/>
    <mergeCell ref="A17:G17"/>
    <mergeCell ref="I17:O17"/>
    <mergeCell ref="A18:G18"/>
    <mergeCell ref="I18:O18"/>
    <mergeCell ref="A22:P22"/>
    <mergeCell ref="A23:C23"/>
    <mergeCell ref="E23:G23"/>
    <mergeCell ref="I23:K23"/>
    <mergeCell ref="M23:O23"/>
    <mergeCell ref="A24:C24"/>
    <mergeCell ref="E24:G24"/>
    <mergeCell ref="I24:K24"/>
    <mergeCell ref="M24:O24"/>
    <mergeCell ref="A25:C25"/>
    <mergeCell ref="E25:G25"/>
    <mergeCell ref="I25:K25"/>
    <mergeCell ref="M25:O25"/>
    <mergeCell ref="A26:C26"/>
    <mergeCell ref="E26:G26"/>
    <mergeCell ref="I26:K26"/>
    <mergeCell ref="M26:O26"/>
    <mergeCell ref="A27:C27"/>
    <mergeCell ref="E27:G27"/>
    <mergeCell ref="I27:K27"/>
    <mergeCell ref="M27:O27"/>
    <mergeCell ref="A28:C28"/>
    <mergeCell ref="E28:G28"/>
    <mergeCell ref="I28:K28"/>
    <mergeCell ref="M28:O28"/>
  </mergeCells>
  <pageMargins left="0.25" right="0.25" top="0.4" bottom="0.4" header="0.511811023622047" footer="0.511811023622047"/>
  <pageSetup paperSize="1" fitToHeight="0" orientation="landscape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B2777"/>
    <pageSetUpPr fitToPage="1"/>
  </sheetPr>
  <dimension ref="A1:K31"/>
  <sheetViews>
    <sheetView showGridLines="0" zoomScale="90" zoomScaleNormal="90" workbookViewId="0">
      <pane ySplit="4" topLeftCell="A5" activePane="bottomLeft" state="frozen"/>
      <selection/>
      <selection pane="bottomLeft" activeCell="A1" sqref="A1:K1"/>
    </sheetView>
  </sheetViews>
  <sheetFormatPr defaultColWidth="8.68181818181818" defaultRowHeight="14.5"/>
  <cols>
    <col min="1" max="1" width="4" customWidth="1"/>
    <col min="2" max="2" width="14" customWidth="1"/>
    <col min="3" max="3" width="12" customWidth="1"/>
    <col min="4" max="4" width="10" customWidth="1"/>
    <col min="5" max="5" width="18" customWidth="1"/>
    <col min="6" max="10" width="12" customWidth="1"/>
    <col min="11" max="11" width="20" customWidth="1"/>
  </cols>
  <sheetData>
    <row r="1" ht="31.5" customHeight="1" spans="1:11">
      <c r="A1" s="74" t="s">
        <v>645</v>
      </c>
      <c r="B1" s="74"/>
      <c r="C1" s="74"/>
      <c r="D1" s="74"/>
      <c r="E1" s="74"/>
      <c r="F1" s="74"/>
      <c r="G1" s="74"/>
      <c r="H1" s="74"/>
      <c r="I1" s="74"/>
      <c r="J1" s="74"/>
      <c r="K1" s="74"/>
    </row>
    <row r="2" ht="15.75" customHeight="1" spans="1:11">
      <c r="A2" s="22" t="s">
        <v>646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4" ht="21.75" customHeight="1" spans="1:11">
      <c r="A4" s="51" t="s">
        <v>183</v>
      </c>
      <c r="B4" s="51" t="s">
        <v>184</v>
      </c>
      <c r="C4" s="28" t="s">
        <v>647</v>
      </c>
      <c r="D4" s="49" t="s">
        <v>648</v>
      </c>
      <c r="E4" s="50" t="s">
        <v>649</v>
      </c>
      <c r="F4" s="50" t="s">
        <v>650</v>
      </c>
      <c r="G4" s="59" t="s">
        <v>651</v>
      </c>
      <c r="H4" s="25" t="s">
        <v>652</v>
      </c>
      <c r="I4" s="26" t="s">
        <v>653</v>
      </c>
      <c r="J4" s="27" t="s">
        <v>654</v>
      </c>
      <c r="K4" s="60" t="s">
        <v>190</v>
      </c>
    </row>
    <row r="5" ht="18" customHeight="1" spans="1:11">
      <c r="A5" s="37">
        <v>1</v>
      </c>
      <c r="B5" s="37" t="s">
        <v>191</v>
      </c>
      <c r="C5" s="75">
        <v>185.2</v>
      </c>
      <c r="D5" s="76">
        <v>18.5</v>
      </c>
      <c r="E5" s="37" t="s">
        <v>655</v>
      </c>
      <c r="F5" s="37">
        <v>0</v>
      </c>
      <c r="G5" s="37">
        <v>7</v>
      </c>
      <c r="H5" s="37">
        <v>7.5</v>
      </c>
      <c r="I5" s="77">
        <v>7</v>
      </c>
      <c r="J5" s="37">
        <v>1850</v>
      </c>
      <c r="K5" s="37" t="s">
        <v>656</v>
      </c>
    </row>
    <row r="6" ht="18" customHeight="1" spans="1:11">
      <c r="A6" s="32">
        <v>2</v>
      </c>
      <c r="B6" s="32" t="s">
        <v>243</v>
      </c>
      <c r="C6" s="78">
        <v>185</v>
      </c>
      <c r="D6" s="79">
        <v>18.4</v>
      </c>
      <c r="E6" s="32" t="s">
        <v>657</v>
      </c>
      <c r="F6" s="32">
        <v>55</v>
      </c>
      <c r="G6" s="32">
        <v>8</v>
      </c>
      <c r="H6" s="32">
        <v>7</v>
      </c>
      <c r="I6" s="11">
        <v>8</v>
      </c>
      <c r="J6" s="32">
        <v>2100</v>
      </c>
      <c r="K6" s="32" t="s">
        <v>658</v>
      </c>
    </row>
    <row r="7" ht="18" customHeight="1" spans="1:11">
      <c r="A7" s="37">
        <v>3</v>
      </c>
      <c r="B7" s="37" t="s">
        <v>247</v>
      </c>
      <c r="C7" s="75">
        <v>184.8</v>
      </c>
      <c r="D7" s="76">
        <v>18.3</v>
      </c>
      <c r="E7" s="37" t="s">
        <v>659</v>
      </c>
      <c r="F7" s="37">
        <v>30</v>
      </c>
      <c r="G7" s="37">
        <v>9</v>
      </c>
      <c r="H7" s="37">
        <v>8</v>
      </c>
      <c r="I7" s="10">
        <v>9</v>
      </c>
      <c r="J7" s="37">
        <v>1950</v>
      </c>
      <c r="K7" s="37"/>
    </row>
    <row r="8" ht="18" customHeight="1" spans="1:11">
      <c r="A8" s="32">
        <v>4</v>
      </c>
      <c r="B8" s="32" t="s">
        <v>251</v>
      </c>
      <c r="C8" s="78">
        <v>184.5</v>
      </c>
      <c r="D8" s="79">
        <v>18.2</v>
      </c>
      <c r="E8" s="32" t="s">
        <v>660</v>
      </c>
      <c r="F8" s="32">
        <v>60</v>
      </c>
      <c r="G8" s="32">
        <v>8</v>
      </c>
      <c r="H8" s="32">
        <v>6.5</v>
      </c>
      <c r="I8" s="66">
        <v>7</v>
      </c>
      <c r="J8" s="32">
        <v>2200</v>
      </c>
      <c r="K8" s="32" t="s">
        <v>661</v>
      </c>
    </row>
    <row r="9" ht="18" customHeight="1" spans="1:11">
      <c r="A9" s="37">
        <v>5</v>
      </c>
      <c r="B9" s="37" t="s">
        <v>255</v>
      </c>
      <c r="C9" s="75">
        <v>184.2</v>
      </c>
      <c r="D9" s="76">
        <v>18.1</v>
      </c>
      <c r="E9" s="37" t="s">
        <v>655</v>
      </c>
      <c r="F9" s="37">
        <v>0</v>
      </c>
      <c r="G9" s="37">
        <v>6</v>
      </c>
      <c r="H9" s="37">
        <v>9</v>
      </c>
      <c r="I9" s="10">
        <v>8</v>
      </c>
      <c r="J9" s="37">
        <v>1800</v>
      </c>
      <c r="K9" s="37"/>
    </row>
    <row r="10" ht="18" customHeight="1" spans="1:11">
      <c r="A10" s="32">
        <v>6</v>
      </c>
      <c r="B10" s="32" t="s">
        <v>258</v>
      </c>
      <c r="C10" s="78">
        <v>184</v>
      </c>
      <c r="D10" s="79">
        <v>18</v>
      </c>
      <c r="E10" s="32" t="s">
        <v>662</v>
      </c>
      <c r="F10" s="32">
        <v>45</v>
      </c>
      <c r="G10" s="32">
        <v>8</v>
      </c>
      <c r="H10" s="32">
        <v>7.5</v>
      </c>
      <c r="I10" s="11">
        <v>9</v>
      </c>
      <c r="J10" s="32">
        <v>1750</v>
      </c>
      <c r="K10" s="32"/>
    </row>
    <row r="11" ht="18" customHeight="1" spans="1:11">
      <c r="A11" s="37">
        <v>7</v>
      </c>
      <c r="B11" s="37" t="s">
        <v>663</v>
      </c>
      <c r="C11" s="75">
        <v>183.8</v>
      </c>
      <c r="D11" s="76">
        <v>17.9</v>
      </c>
      <c r="E11" s="37" t="s">
        <v>664</v>
      </c>
      <c r="F11" s="37">
        <v>65</v>
      </c>
      <c r="G11" s="37">
        <v>9</v>
      </c>
      <c r="H11" s="37">
        <v>7</v>
      </c>
      <c r="I11" s="10">
        <v>8</v>
      </c>
      <c r="J11" s="37">
        <v>2300</v>
      </c>
      <c r="K11" s="37" t="s">
        <v>665</v>
      </c>
    </row>
    <row r="12" ht="18" customHeight="1" spans="1:11">
      <c r="A12" s="32">
        <v>8</v>
      </c>
      <c r="B12" s="32" t="s">
        <v>196</v>
      </c>
      <c r="C12" s="78">
        <v>183.5</v>
      </c>
      <c r="D12" s="79">
        <v>17.8</v>
      </c>
      <c r="E12" s="32" t="s">
        <v>666</v>
      </c>
      <c r="F12" s="32">
        <v>35</v>
      </c>
      <c r="G12" s="32">
        <v>8</v>
      </c>
      <c r="H12" s="32">
        <v>8</v>
      </c>
      <c r="I12" s="11">
        <v>8</v>
      </c>
      <c r="J12" s="32">
        <v>2000</v>
      </c>
      <c r="K12" s="32"/>
    </row>
    <row r="13" ht="18" customHeight="1" spans="1:11">
      <c r="A13" s="37">
        <v>9</v>
      </c>
      <c r="B13" s="37" t="s">
        <v>667</v>
      </c>
      <c r="C13" s="75">
        <v>183.2</v>
      </c>
      <c r="D13" s="76">
        <v>17.7</v>
      </c>
      <c r="E13" s="37" t="s">
        <v>668</v>
      </c>
      <c r="F13" s="37">
        <v>55</v>
      </c>
      <c r="G13" s="37">
        <v>9</v>
      </c>
      <c r="H13" s="37">
        <v>7.5</v>
      </c>
      <c r="I13" s="10">
        <v>9</v>
      </c>
      <c r="J13" s="37">
        <v>2100</v>
      </c>
      <c r="K13" s="37"/>
    </row>
    <row r="14" ht="18" customHeight="1" spans="1:11">
      <c r="A14" s="32">
        <v>10</v>
      </c>
      <c r="B14" s="32" t="s">
        <v>200</v>
      </c>
      <c r="C14" s="78">
        <v>183</v>
      </c>
      <c r="D14" s="79">
        <v>17.6</v>
      </c>
      <c r="E14" s="32" t="s">
        <v>669</v>
      </c>
      <c r="F14" s="32">
        <v>40</v>
      </c>
      <c r="G14" s="32">
        <v>7</v>
      </c>
      <c r="H14" s="32">
        <v>6</v>
      </c>
      <c r="I14" s="66">
        <v>6</v>
      </c>
      <c r="J14" s="32">
        <v>2400</v>
      </c>
      <c r="K14" s="32" t="s">
        <v>670</v>
      </c>
    </row>
    <row r="15" ht="18" customHeight="1" spans="1:11">
      <c r="A15" s="37">
        <v>11</v>
      </c>
      <c r="B15" s="37" t="s">
        <v>671</v>
      </c>
      <c r="C15" s="75">
        <v>183.2</v>
      </c>
      <c r="D15" s="76">
        <v>17.7</v>
      </c>
      <c r="E15" s="37" t="s">
        <v>655</v>
      </c>
      <c r="F15" s="37">
        <v>0</v>
      </c>
      <c r="G15" s="37">
        <v>8</v>
      </c>
      <c r="H15" s="37">
        <v>8.5</v>
      </c>
      <c r="I15" s="10">
        <v>8</v>
      </c>
      <c r="J15" s="37">
        <v>1900</v>
      </c>
      <c r="K15" s="37"/>
    </row>
    <row r="16" ht="18" customHeight="1" spans="1:11">
      <c r="A16" s="32">
        <v>12</v>
      </c>
      <c r="B16" s="32" t="s">
        <v>263</v>
      </c>
      <c r="C16" s="78">
        <v>182.8</v>
      </c>
      <c r="D16" s="79">
        <v>17.5</v>
      </c>
      <c r="E16" s="32" t="s">
        <v>672</v>
      </c>
      <c r="F16" s="32">
        <v>45</v>
      </c>
      <c r="G16" s="32">
        <v>9</v>
      </c>
      <c r="H16" s="32">
        <v>8</v>
      </c>
      <c r="I16" s="11">
        <v>9</v>
      </c>
      <c r="J16" s="32">
        <v>2050</v>
      </c>
      <c r="K16" s="32" t="s">
        <v>673</v>
      </c>
    </row>
    <row r="17" ht="18" customHeight="1" spans="1:11">
      <c r="A17" s="37">
        <v>13</v>
      </c>
      <c r="B17" s="37" t="s">
        <v>674</v>
      </c>
      <c r="C17" s="75">
        <v>182.5</v>
      </c>
      <c r="D17" s="76">
        <v>17.4</v>
      </c>
      <c r="E17" s="37" t="s">
        <v>675</v>
      </c>
      <c r="F17" s="37">
        <v>70</v>
      </c>
      <c r="G17" s="37">
        <v>8</v>
      </c>
      <c r="H17" s="37">
        <v>7</v>
      </c>
      <c r="I17" s="10">
        <v>8</v>
      </c>
      <c r="J17" s="37">
        <v>2200</v>
      </c>
      <c r="K17" s="37"/>
    </row>
    <row r="18" ht="18" customHeight="1" spans="1:11">
      <c r="A18" s="32">
        <v>14</v>
      </c>
      <c r="B18" s="32" t="s">
        <v>204</v>
      </c>
      <c r="C18" s="78">
        <v>182.2</v>
      </c>
      <c r="D18" s="79">
        <v>17.3</v>
      </c>
      <c r="E18" s="32" t="s">
        <v>676</v>
      </c>
      <c r="F18" s="32">
        <v>30</v>
      </c>
      <c r="G18" s="32">
        <v>7</v>
      </c>
      <c r="H18" s="32">
        <v>8.5</v>
      </c>
      <c r="I18" s="11">
        <v>8</v>
      </c>
      <c r="J18" s="32">
        <v>1850</v>
      </c>
      <c r="K18" s="32"/>
    </row>
    <row r="19" ht="18" customHeight="1" spans="1:11">
      <c r="A19" s="37">
        <v>15</v>
      </c>
      <c r="B19" s="37" t="s">
        <v>266</v>
      </c>
      <c r="C19" s="75">
        <v>182</v>
      </c>
      <c r="D19" s="76">
        <v>17.2</v>
      </c>
      <c r="E19" s="37" t="s">
        <v>657</v>
      </c>
      <c r="F19" s="37">
        <v>55</v>
      </c>
      <c r="G19" s="37">
        <v>9</v>
      </c>
      <c r="H19" s="37">
        <v>7</v>
      </c>
      <c r="I19" s="10">
        <v>8</v>
      </c>
      <c r="J19" s="37">
        <v>2100</v>
      </c>
      <c r="K19" s="37"/>
    </row>
    <row r="20" ht="18" customHeight="1" spans="1:11">
      <c r="A20" s="32">
        <v>16</v>
      </c>
      <c r="B20" s="32" t="s">
        <v>268</v>
      </c>
      <c r="C20" s="78">
        <v>181.8</v>
      </c>
      <c r="D20" s="79">
        <v>17.1</v>
      </c>
      <c r="E20" s="32" t="s">
        <v>672</v>
      </c>
      <c r="F20" s="32">
        <v>48</v>
      </c>
      <c r="G20" s="32">
        <v>9</v>
      </c>
      <c r="H20" s="32">
        <v>8</v>
      </c>
      <c r="I20" s="11">
        <v>9</v>
      </c>
      <c r="J20" s="32">
        <v>2000</v>
      </c>
      <c r="K20" s="32"/>
    </row>
    <row r="21" ht="18" customHeight="1" spans="1:11">
      <c r="A21" s="37">
        <v>17</v>
      </c>
      <c r="B21" s="37" t="s">
        <v>582</v>
      </c>
      <c r="C21" s="75">
        <v>181.5</v>
      </c>
      <c r="D21" s="76">
        <v>17</v>
      </c>
      <c r="E21" s="37" t="s">
        <v>655</v>
      </c>
      <c r="F21" s="37">
        <v>0</v>
      </c>
      <c r="G21" s="37">
        <v>7</v>
      </c>
      <c r="H21" s="37">
        <v>9</v>
      </c>
      <c r="I21" s="10">
        <v>8</v>
      </c>
      <c r="J21" s="37">
        <v>1800</v>
      </c>
      <c r="K21" s="37"/>
    </row>
    <row r="22" ht="18" customHeight="1" spans="1:11">
      <c r="A22" s="32">
        <v>18</v>
      </c>
      <c r="B22" s="32" t="s">
        <v>271</v>
      </c>
      <c r="C22" s="78">
        <v>181.2</v>
      </c>
      <c r="D22" s="79">
        <v>16.9</v>
      </c>
      <c r="E22" s="32" t="s">
        <v>662</v>
      </c>
      <c r="F22" s="32">
        <v>45</v>
      </c>
      <c r="G22" s="32">
        <v>8</v>
      </c>
      <c r="H22" s="32">
        <v>8</v>
      </c>
      <c r="I22" s="11">
        <v>9</v>
      </c>
      <c r="J22" s="32">
        <v>1750</v>
      </c>
      <c r="K22" s="32" t="s">
        <v>677</v>
      </c>
    </row>
    <row r="23" ht="18" customHeight="1" spans="1:11">
      <c r="A23" s="37">
        <v>19</v>
      </c>
      <c r="B23" s="37" t="s">
        <v>570</v>
      </c>
      <c r="C23" s="75">
        <v>181</v>
      </c>
      <c r="D23" s="76">
        <v>16.8</v>
      </c>
      <c r="E23" s="37" t="s">
        <v>664</v>
      </c>
      <c r="F23" s="37">
        <v>65</v>
      </c>
      <c r="G23" s="37">
        <v>9</v>
      </c>
      <c r="H23" s="37">
        <v>7</v>
      </c>
      <c r="I23" s="10">
        <v>8</v>
      </c>
      <c r="J23" s="37">
        <v>2300</v>
      </c>
      <c r="K23" s="37"/>
    </row>
    <row r="24" ht="18" customHeight="1" spans="1:11">
      <c r="A24" s="32">
        <v>20</v>
      </c>
      <c r="B24" s="32" t="s">
        <v>273</v>
      </c>
      <c r="C24" s="78">
        <v>180.8</v>
      </c>
      <c r="D24" s="79">
        <v>16.7</v>
      </c>
      <c r="E24" s="32" t="s">
        <v>678</v>
      </c>
      <c r="F24" s="32">
        <v>52</v>
      </c>
      <c r="G24" s="32">
        <v>9</v>
      </c>
      <c r="H24" s="32">
        <v>8.5</v>
      </c>
      <c r="I24" s="11">
        <v>9</v>
      </c>
      <c r="J24" s="32">
        <v>2050</v>
      </c>
      <c r="K24" s="32" t="s">
        <v>679</v>
      </c>
    </row>
    <row r="25" ht="21.75" customHeight="1" spans="1:11">
      <c r="A25" s="23" t="s">
        <v>680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1">
      <c r="A26" s="80" t="s">
        <v>681</v>
      </c>
      <c r="B26" s="80"/>
      <c r="C26" s="24" t="s">
        <v>682</v>
      </c>
      <c r="D26" s="24" t="s">
        <v>683</v>
      </c>
      <c r="E26" s="24" t="s">
        <v>684</v>
      </c>
    </row>
    <row r="27" ht="18" customHeight="1" spans="1:11">
      <c r="A27" s="81" t="s">
        <v>685</v>
      </c>
      <c r="B27" s="81"/>
      <c r="C27" s="82">
        <f>AVERAGE(C5:C24)</f>
        <v>183.01</v>
      </c>
      <c r="D27" s="83">
        <f>MIN(C5:C24)</f>
        <v>180.8</v>
      </c>
      <c r="E27" s="43">
        <f>MAX(C5:C24)</f>
        <v>185.2</v>
      </c>
    </row>
    <row r="28" ht="18" customHeight="1" spans="1:11">
      <c r="A28" s="84" t="s">
        <v>686</v>
      </c>
      <c r="B28" s="84"/>
      <c r="C28" s="85">
        <f>AVERAGE(F5:F24)</f>
        <v>39.75</v>
      </c>
      <c r="D28" s="86">
        <f>MIN(F5:F24)</f>
        <v>0</v>
      </c>
      <c r="E28" s="40">
        <f>MAX(F5:F24)</f>
        <v>70</v>
      </c>
    </row>
    <row r="29" ht="18" customHeight="1" spans="1:11">
      <c r="A29" s="81" t="s">
        <v>687</v>
      </c>
      <c r="B29" s="81"/>
      <c r="C29" s="82">
        <f>AVERAGE(G5:G24)</f>
        <v>8.1</v>
      </c>
      <c r="D29" s="83">
        <f>MIN(G5:G24)</f>
        <v>6</v>
      </c>
      <c r="E29" s="43">
        <f>MAX(G5:G24)</f>
        <v>9</v>
      </c>
    </row>
    <row r="30" ht="18" customHeight="1" spans="1:11">
      <c r="A30" s="84" t="s">
        <v>688</v>
      </c>
      <c r="B30" s="84"/>
      <c r="C30" s="85">
        <f>AVERAGE(H5:H24)</f>
        <v>7.675</v>
      </c>
      <c r="D30" s="86">
        <f>MIN(H5:H24)</f>
        <v>6</v>
      </c>
      <c r="E30" s="40">
        <f>MAX(H5:H24)</f>
        <v>9</v>
      </c>
    </row>
    <row r="31" ht="18" customHeight="1" spans="1:11">
      <c r="A31" s="81" t="s">
        <v>689</v>
      </c>
      <c r="B31" s="81"/>
      <c r="C31" s="82">
        <f>AVERAGE(I5:I24)</f>
        <v>8.15</v>
      </c>
      <c r="D31" s="83">
        <f>MIN(I5:I24)</f>
        <v>6</v>
      </c>
      <c r="E31" s="43">
        <f>MAX(I5:I24)</f>
        <v>9</v>
      </c>
    </row>
  </sheetData>
  <mergeCells count="9">
    <mergeCell ref="A1:K1"/>
    <mergeCell ref="A2:K2"/>
    <mergeCell ref="A25:K25"/>
    <mergeCell ref="A26:B26"/>
    <mergeCell ref="A27:B27"/>
    <mergeCell ref="A28:B28"/>
    <mergeCell ref="A29:B29"/>
    <mergeCell ref="A30:B30"/>
    <mergeCell ref="A31:B31"/>
  </mergeCells>
  <pageMargins left="0.25" right="0.25" top="0.4" bottom="0.4" header="0.511811023622047" footer="0.511811023622047"/>
  <pageSetup paperSize="1" fitToHeight="0" orientation="landscape" horizontalDpi="300" verticalDpi="300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7706"/>
    <pageSetUpPr fitToPage="1"/>
  </sheetPr>
  <dimension ref="A1:I46"/>
  <sheetViews>
    <sheetView showGridLines="0" zoomScale="90" zoomScaleNormal="90" workbookViewId="0">
      <selection activeCell="A1" sqref="A1:I1"/>
    </sheetView>
  </sheetViews>
  <sheetFormatPr defaultColWidth="8.68181818181818" defaultRowHeight="14.5"/>
  <cols>
    <col min="1" max="1" width="26" customWidth="1"/>
    <col min="2" max="2" width="13" customWidth="1"/>
    <col min="3" max="3" width="14" customWidth="1"/>
    <col min="4" max="8" width="10" customWidth="1"/>
    <col min="9" max="9" width="22" customWidth="1"/>
  </cols>
  <sheetData>
    <row r="1" ht="31.5" customHeight="1" spans="1:9">
      <c r="A1" s="58" t="s">
        <v>690</v>
      </c>
      <c r="B1" s="58"/>
      <c r="C1" s="58"/>
      <c r="D1" s="58"/>
      <c r="E1" s="58"/>
      <c r="F1" s="58"/>
      <c r="G1" s="58"/>
      <c r="H1" s="58"/>
      <c r="I1" s="58"/>
    </row>
    <row r="3" ht="21.75" customHeight="1" spans="1:9">
      <c r="A3" s="12" t="s">
        <v>691</v>
      </c>
      <c r="B3" s="12"/>
      <c r="C3" s="12"/>
      <c r="D3" s="12"/>
      <c r="E3" s="12"/>
      <c r="F3" s="12"/>
      <c r="G3" s="12"/>
      <c r="H3" s="12"/>
      <c r="I3" s="12"/>
    </row>
    <row r="4" spans="1:9">
      <c r="A4" s="27" t="s">
        <v>692</v>
      </c>
      <c r="B4" s="26" t="s">
        <v>186</v>
      </c>
      <c r="C4" s="49" t="s">
        <v>654</v>
      </c>
      <c r="D4" s="50" t="s">
        <v>693</v>
      </c>
      <c r="E4" s="59" t="s">
        <v>694</v>
      </c>
      <c r="F4" s="28" t="s">
        <v>695</v>
      </c>
      <c r="G4" s="60" t="s">
        <v>696</v>
      </c>
      <c r="H4" s="60" t="s">
        <v>190</v>
      </c>
    </row>
    <row r="5" ht="18" customHeight="1" spans="1:9">
      <c r="A5" s="32" t="s">
        <v>697</v>
      </c>
      <c r="B5" s="32" t="s">
        <v>698</v>
      </c>
      <c r="C5" s="32">
        <v>380</v>
      </c>
      <c r="D5" s="32">
        <v>15</v>
      </c>
      <c r="E5" s="32">
        <v>62</v>
      </c>
      <c r="F5" s="32">
        <v>8</v>
      </c>
      <c r="G5" s="32">
        <v>5</v>
      </c>
      <c r="H5" s="32" t="s">
        <v>699</v>
      </c>
    </row>
    <row r="6" ht="18" customHeight="1" spans="1:9">
      <c r="A6" s="37" t="s">
        <v>700</v>
      </c>
      <c r="B6" s="37" t="s">
        <v>698</v>
      </c>
      <c r="C6" s="37">
        <v>420</v>
      </c>
      <c r="D6" s="37">
        <v>18</v>
      </c>
      <c r="E6" s="37">
        <v>35</v>
      </c>
      <c r="F6" s="37">
        <v>22</v>
      </c>
      <c r="G6" s="37">
        <v>10</v>
      </c>
      <c r="H6" s="37" t="s">
        <v>701</v>
      </c>
    </row>
    <row r="7" ht="18" customHeight="1" spans="1:9">
      <c r="A7" s="32" t="s">
        <v>702</v>
      </c>
      <c r="B7" s="32" t="s">
        <v>698</v>
      </c>
      <c r="C7" s="32">
        <v>290</v>
      </c>
      <c r="D7" s="32">
        <v>22</v>
      </c>
      <c r="E7" s="32">
        <v>38</v>
      </c>
      <c r="F7" s="32">
        <v>5</v>
      </c>
      <c r="G7" s="32">
        <v>3</v>
      </c>
      <c r="H7" s="32" t="s">
        <v>703</v>
      </c>
    </row>
    <row r="8" ht="18" customHeight="1" spans="1:9">
      <c r="A8" s="37" t="s">
        <v>704</v>
      </c>
      <c r="B8" s="37" t="s">
        <v>698</v>
      </c>
      <c r="C8" s="37">
        <v>310</v>
      </c>
      <c r="D8" s="37">
        <v>30</v>
      </c>
      <c r="E8" s="37">
        <v>28</v>
      </c>
      <c r="F8" s="37">
        <v>8</v>
      </c>
      <c r="G8" s="37">
        <v>5</v>
      </c>
      <c r="H8" s="37" t="s">
        <v>705</v>
      </c>
    </row>
    <row r="9" ht="18" customHeight="1" spans="1:9">
      <c r="A9" s="32" t="s">
        <v>706</v>
      </c>
      <c r="B9" s="32" t="s">
        <v>526</v>
      </c>
      <c r="C9" s="32">
        <v>450</v>
      </c>
      <c r="D9" s="32">
        <v>42</v>
      </c>
      <c r="E9" s="32">
        <v>20</v>
      </c>
      <c r="F9" s="32">
        <v>18</v>
      </c>
      <c r="G9" s="32">
        <v>15</v>
      </c>
      <c r="H9" s="32" t="s">
        <v>707</v>
      </c>
    </row>
    <row r="10" ht="18" customHeight="1" spans="1:9">
      <c r="A10" s="37" t="s">
        <v>708</v>
      </c>
      <c r="B10" s="37" t="s">
        <v>526</v>
      </c>
      <c r="C10" s="37">
        <v>520</v>
      </c>
      <c r="D10" s="37">
        <v>38</v>
      </c>
      <c r="E10" s="37">
        <v>55</v>
      </c>
      <c r="F10" s="37">
        <v>12</v>
      </c>
      <c r="G10" s="37">
        <v>20</v>
      </c>
      <c r="H10" s="37" t="s">
        <v>709</v>
      </c>
    </row>
    <row r="11" ht="18" customHeight="1" spans="1:9">
      <c r="A11" s="32" t="s">
        <v>710</v>
      </c>
      <c r="B11" s="32" t="s">
        <v>526</v>
      </c>
      <c r="C11" s="32">
        <v>380</v>
      </c>
      <c r="D11" s="32">
        <v>30</v>
      </c>
      <c r="E11" s="32">
        <v>40</v>
      </c>
      <c r="F11" s="32">
        <v>10</v>
      </c>
      <c r="G11" s="32">
        <v>5</v>
      </c>
      <c r="H11" s="32" t="s">
        <v>711</v>
      </c>
    </row>
    <row r="12" ht="18" customHeight="1" spans="1:9">
      <c r="A12" s="37" t="s">
        <v>712</v>
      </c>
      <c r="B12" s="37" t="s">
        <v>713</v>
      </c>
      <c r="C12" s="37">
        <v>550</v>
      </c>
      <c r="D12" s="37">
        <v>45</v>
      </c>
      <c r="E12" s="37">
        <v>30</v>
      </c>
      <c r="F12" s="37">
        <v>22</v>
      </c>
      <c r="G12" s="37">
        <v>25</v>
      </c>
      <c r="H12" s="37" t="s">
        <v>714</v>
      </c>
    </row>
    <row r="13" ht="18" customHeight="1" spans="1:9">
      <c r="A13" s="32" t="s">
        <v>715</v>
      </c>
      <c r="B13" s="32" t="s">
        <v>713</v>
      </c>
      <c r="C13" s="32">
        <v>620</v>
      </c>
      <c r="D13" s="32">
        <v>45</v>
      </c>
      <c r="E13" s="32">
        <v>55</v>
      </c>
      <c r="F13" s="32">
        <v>18</v>
      </c>
      <c r="G13" s="32">
        <v>30</v>
      </c>
      <c r="H13" s="32" t="s">
        <v>716</v>
      </c>
    </row>
    <row r="14" ht="18" customHeight="1" spans="1:9">
      <c r="A14" s="37" t="s">
        <v>717</v>
      </c>
      <c r="B14" s="37" t="s">
        <v>713</v>
      </c>
      <c r="C14" s="37">
        <v>480</v>
      </c>
      <c r="D14" s="37">
        <v>46</v>
      </c>
      <c r="E14" s="37">
        <v>12</v>
      </c>
      <c r="F14" s="37">
        <v>24</v>
      </c>
      <c r="G14" s="37">
        <v>40</v>
      </c>
      <c r="H14" s="37" t="s">
        <v>718</v>
      </c>
    </row>
    <row r="15" ht="18" customHeight="1" spans="1:9">
      <c r="A15" s="32" t="s">
        <v>719</v>
      </c>
      <c r="B15" s="32" t="s">
        <v>713</v>
      </c>
      <c r="C15" s="32">
        <v>580</v>
      </c>
      <c r="D15" s="32">
        <v>35</v>
      </c>
      <c r="E15" s="32">
        <v>68</v>
      </c>
      <c r="F15" s="32">
        <v>15</v>
      </c>
      <c r="G15" s="32">
        <v>35</v>
      </c>
      <c r="H15" s="32" t="s">
        <v>720</v>
      </c>
    </row>
    <row r="16" ht="18" customHeight="1" spans="1:9">
      <c r="A16" s="37" t="s">
        <v>721</v>
      </c>
      <c r="B16" s="37" t="s">
        <v>722</v>
      </c>
      <c r="C16" s="37">
        <v>195</v>
      </c>
      <c r="D16" s="37">
        <v>5</v>
      </c>
      <c r="E16" s="37">
        <v>22</v>
      </c>
      <c r="F16" s="37">
        <v>12</v>
      </c>
      <c r="G16" s="37">
        <v>2</v>
      </c>
      <c r="H16" s="37" t="s">
        <v>723</v>
      </c>
    </row>
    <row r="17" ht="18" customHeight="1" spans="1:9">
      <c r="A17" s="32" t="s">
        <v>724</v>
      </c>
      <c r="B17" s="32" t="s">
        <v>722</v>
      </c>
      <c r="C17" s="32">
        <v>150</v>
      </c>
      <c r="D17" s="32">
        <v>6</v>
      </c>
      <c r="E17" s="32">
        <v>18</v>
      </c>
      <c r="F17" s="32">
        <v>7</v>
      </c>
      <c r="G17" s="32">
        <v>5</v>
      </c>
      <c r="H17" s="32" t="s">
        <v>725</v>
      </c>
    </row>
    <row r="18" ht="18" customHeight="1" spans="1:9">
      <c r="A18" s="37" t="s">
        <v>726</v>
      </c>
      <c r="B18" s="37" t="s">
        <v>722</v>
      </c>
      <c r="C18" s="37">
        <v>200</v>
      </c>
      <c r="D18" s="37">
        <v>20</v>
      </c>
      <c r="E18" s="37">
        <v>22</v>
      </c>
      <c r="F18" s="37">
        <v>6</v>
      </c>
      <c r="G18" s="37">
        <v>0</v>
      </c>
      <c r="H18" s="37" t="s">
        <v>727</v>
      </c>
    </row>
    <row r="19" ht="18" customHeight="1" spans="1:9">
      <c r="A19" s="32" t="s">
        <v>728</v>
      </c>
      <c r="B19" s="32" t="s">
        <v>698</v>
      </c>
      <c r="C19" s="32">
        <v>360</v>
      </c>
      <c r="D19" s="32">
        <v>14</v>
      </c>
      <c r="E19" s="32">
        <v>58</v>
      </c>
      <c r="F19" s="32">
        <v>9</v>
      </c>
      <c r="G19" s="32">
        <v>5</v>
      </c>
      <c r="H19" s="32" t="s">
        <v>729</v>
      </c>
    </row>
    <row r="22" ht="21.75" customHeight="1" spans="1:9">
      <c r="A22" s="23" t="s">
        <v>730</v>
      </c>
      <c r="B22" s="23"/>
      <c r="C22" s="23"/>
      <c r="D22" s="23"/>
      <c r="E22" s="23"/>
      <c r="F22" s="23"/>
      <c r="G22" s="23"/>
      <c r="H22" s="23"/>
      <c r="I22" s="23"/>
    </row>
    <row r="23" spans="1:9">
      <c r="A23" s="24" t="s">
        <v>731</v>
      </c>
      <c r="B23" s="59" t="s">
        <v>497</v>
      </c>
      <c r="C23" s="59" t="s">
        <v>498</v>
      </c>
      <c r="D23" s="59" t="s">
        <v>499</v>
      </c>
      <c r="E23" s="59" t="s">
        <v>500</v>
      </c>
      <c r="F23" s="59" t="s">
        <v>501</v>
      </c>
      <c r="G23" s="61" t="s">
        <v>502</v>
      </c>
      <c r="H23" s="61" t="s">
        <v>496</v>
      </c>
    </row>
    <row r="24" ht="25.5" customHeight="1" spans="1:9">
      <c r="A24" s="62" t="s">
        <v>698</v>
      </c>
      <c r="B24" s="63" t="s">
        <v>697</v>
      </c>
      <c r="C24" s="63" t="s">
        <v>732</v>
      </c>
      <c r="D24" s="63" t="s">
        <v>733</v>
      </c>
      <c r="E24" s="63" t="s">
        <v>697</v>
      </c>
      <c r="F24" s="63" t="s">
        <v>704</v>
      </c>
      <c r="G24" s="63" t="s">
        <v>732</v>
      </c>
      <c r="H24" s="63" t="s">
        <v>733</v>
      </c>
    </row>
    <row r="25" ht="25.5" customHeight="1" spans="1:9">
      <c r="A25" s="14" t="s">
        <v>526</v>
      </c>
      <c r="B25" s="64" t="s">
        <v>734</v>
      </c>
      <c r="C25" s="64" t="s">
        <v>735</v>
      </c>
      <c r="D25" s="64" t="s">
        <v>710</v>
      </c>
      <c r="E25" s="64" t="s">
        <v>734</v>
      </c>
      <c r="F25" s="64" t="s">
        <v>736</v>
      </c>
      <c r="G25" s="64" t="s">
        <v>735</v>
      </c>
      <c r="H25" s="64" t="s">
        <v>710</v>
      </c>
    </row>
    <row r="26" ht="25.5" customHeight="1" spans="1:9">
      <c r="A26" s="65" t="s">
        <v>713</v>
      </c>
      <c r="B26" s="63" t="s">
        <v>737</v>
      </c>
      <c r="C26" s="63" t="s">
        <v>738</v>
      </c>
      <c r="D26" s="63" t="s">
        <v>739</v>
      </c>
      <c r="E26" s="63" t="s">
        <v>740</v>
      </c>
      <c r="F26" s="63" t="s">
        <v>737</v>
      </c>
      <c r="G26" s="63" t="s">
        <v>738</v>
      </c>
      <c r="H26" s="63" t="s">
        <v>739</v>
      </c>
    </row>
    <row r="27" ht="25.5" customHeight="1" spans="1:9">
      <c r="A27" s="66" t="s">
        <v>722</v>
      </c>
      <c r="B27" s="64" t="s">
        <v>741</v>
      </c>
      <c r="C27" s="64" t="s">
        <v>726</v>
      </c>
      <c r="D27" s="64" t="s">
        <v>742</v>
      </c>
      <c r="E27" s="64" t="s">
        <v>741</v>
      </c>
      <c r="F27" s="64" t="s">
        <v>726</v>
      </c>
      <c r="G27" s="64" t="s">
        <v>742</v>
      </c>
      <c r="H27" s="64" t="s">
        <v>741</v>
      </c>
    </row>
    <row r="29" ht="21.75" customHeight="1" spans="1:9">
      <c r="A29" s="8" t="s">
        <v>743</v>
      </c>
      <c r="B29" s="8"/>
      <c r="C29" s="8"/>
      <c r="D29" s="8"/>
      <c r="E29" s="8"/>
      <c r="F29" s="8"/>
      <c r="G29" s="8"/>
      <c r="H29" s="8"/>
      <c r="I29" s="8"/>
    </row>
    <row r="30" spans="1:9">
      <c r="A30" s="50" t="s">
        <v>407</v>
      </c>
      <c r="B30" s="50" t="s">
        <v>186</v>
      </c>
      <c r="C30" s="50" t="s">
        <v>744</v>
      </c>
      <c r="D30" s="50" t="s">
        <v>745</v>
      </c>
      <c r="E30" s="50" t="s">
        <v>746</v>
      </c>
      <c r="F30" s="50" t="s">
        <v>747</v>
      </c>
      <c r="G30" s="50" t="s">
        <v>190</v>
      </c>
    </row>
    <row r="31" ht="18" customHeight="1" spans="1:9">
      <c r="A31" s="32" t="s">
        <v>748</v>
      </c>
      <c r="B31" s="32" t="s">
        <v>749</v>
      </c>
      <c r="C31" s="32">
        <v>2</v>
      </c>
      <c r="D31" s="32" t="s">
        <v>750</v>
      </c>
      <c r="E31" s="67">
        <v>8.99</v>
      </c>
      <c r="F31" s="68" t="s">
        <v>328</v>
      </c>
      <c r="G31" s="32"/>
    </row>
    <row r="32" ht="18" customHeight="1" spans="1:9">
      <c r="A32" s="37" t="s">
        <v>751</v>
      </c>
      <c r="B32" s="37" t="s">
        <v>749</v>
      </c>
      <c r="C32" s="37">
        <v>1</v>
      </c>
      <c r="D32" s="37" t="s">
        <v>750</v>
      </c>
      <c r="E32" s="69">
        <v>12.99</v>
      </c>
      <c r="F32" s="70" t="s">
        <v>328</v>
      </c>
      <c r="G32" s="37"/>
    </row>
    <row r="33" ht="18" customHeight="1" spans="1:7">
      <c r="A33" s="32" t="s">
        <v>752</v>
      </c>
      <c r="B33" s="32" t="s">
        <v>749</v>
      </c>
      <c r="C33" s="32">
        <v>1.5</v>
      </c>
      <c r="D33" s="32" t="s">
        <v>750</v>
      </c>
      <c r="E33" s="67">
        <v>9.99</v>
      </c>
      <c r="F33" s="68" t="s">
        <v>328</v>
      </c>
      <c r="G33" s="32"/>
    </row>
    <row r="34" ht="18" customHeight="1" spans="1:7">
      <c r="A34" s="37" t="s">
        <v>753</v>
      </c>
      <c r="B34" s="37" t="s">
        <v>749</v>
      </c>
      <c r="C34" s="37">
        <v>12</v>
      </c>
      <c r="D34" s="37" t="s">
        <v>754</v>
      </c>
      <c r="E34" s="69">
        <v>4.99</v>
      </c>
      <c r="F34" s="71" t="s">
        <v>329</v>
      </c>
      <c r="G34" s="37"/>
    </row>
    <row r="35" ht="18" customHeight="1" spans="1:7">
      <c r="A35" s="32" t="s">
        <v>733</v>
      </c>
      <c r="B35" s="32" t="s">
        <v>755</v>
      </c>
      <c r="C35" s="32">
        <v>2</v>
      </c>
      <c r="D35" s="32" t="s">
        <v>756</v>
      </c>
      <c r="E35" s="67">
        <v>3.99</v>
      </c>
      <c r="F35" s="68" t="s">
        <v>328</v>
      </c>
      <c r="G35" s="32" t="s">
        <v>757</v>
      </c>
    </row>
    <row r="36" ht="18" customHeight="1" spans="1:7">
      <c r="A36" s="37" t="s">
        <v>758</v>
      </c>
      <c r="B36" s="37" t="s">
        <v>759</v>
      </c>
      <c r="C36" s="37">
        <v>1</v>
      </c>
      <c r="D36" s="37" t="s">
        <v>760</v>
      </c>
      <c r="E36" s="69">
        <v>3.49</v>
      </c>
      <c r="F36" s="71" t="s">
        <v>329</v>
      </c>
      <c r="G36" s="37"/>
    </row>
    <row r="37" ht="18" customHeight="1" spans="1:7">
      <c r="A37" s="32" t="s">
        <v>761</v>
      </c>
      <c r="B37" s="32" t="s">
        <v>759</v>
      </c>
      <c r="C37" s="32">
        <v>1</v>
      </c>
      <c r="D37" s="32" t="s">
        <v>760</v>
      </c>
      <c r="E37" s="67">
        <v>6.99</v>
      </c>
      <c r="F37" s="68" t="s">
        <v>328</v>
      </c>
      <c r="G37" s="32"/>
    </row>
    <row r="38" ht="18" customHeight="1" spans="1:7">
      <c r="A38" s="37" t="s">
        <v>762</v>
      </c>
      <c r="B38" s="37" t="s">
        <v>759</v>
      </c>
      <c r="C38" s="37">
        <v>1</v>
      </c>
      <c r="D38" s="37" t="s">
        <v>763</v>
      </c>
      <c r="E38" s="69">
        <v>3.99</v>
      </c>
      <c r="F38" s="70" t="s">
        <v>328</v>
      </c>
      <c r="G38" s="37"/>
    </row>
    <row r="39" ht="18" customHeight="1" spans="1:7">
      <c r="A39" s="32" t="s">
        <v>764</v>
      </c>
      <c r="B39" s="32" t="s">
        <v>765</v>
      </c>
      <c r="C39" s="32">
        <v>1</v>
      </c>
      <c r="D39" s="32" t="s">
        <v>760</v>
      </c>
      <c r="E39" s="67">
        <v>4.99</v>
      </c>
      <c r="F39" s="68" t="s">
        <v>328</v>
      </c>
      <c r="G39" s="32"/>
    </row>
    <row r="40" ht="18" customHeight="1" spans="1:7">
      <c r="A40" s="37" t="s">
        <v>766</v>
      </c>
      <c r="B40" s="37" t="s">
        <v>765</v>
      </c>
      <c r="C40" s="37">
        <v>2</v>
      </c>
      <c r="D40" s="37" t="s">
        <v>767</v>
      </c>
      <c r="E40" s="69">
        <v>2.99</v>
      </c>
      <c r="F40" s="70" t="s">
        <v>328</v>
      </c>
      <c r="G40" s="37"/>
    </row>
    <row r="41" ht="18" customHeight="1" spans="1:7">
      <c r="A41" s="32" t="s">
        <v>768</v>
      </c>
      <c r="B41" s="32" t="s">
        <v>765</v>
      </c>
      <c r="C41" s="32">
        <v>3</v>
      </c>
      <c r="D41" s="32" t="s">
        <v>754</v>
      </c>
      <c r="E41" s="67">
        <v>1.99</v>
      </c>
      <c r="F41" s="68" t="s">
        <v>328</v>
      </c>
      <c r="G41" s="32"/>
    </row>
    <row r="42" ht="18" customHeight="1" spans="1:7">
      <c r="A42" s="37" t="s">
        <v>769</v>
      </c>
      <c r="B42" s="37" t="s">
        <v>765</v>
      </c>
      <c r="C42" s="37">
        <v>3</v>
      </c>
      <c r="D42" s="37" t="s">
        <v>754</v>
      </c>
      <c r="E42" s="69">
        <v>1.49</v>
      </c>
      <c r="F42" s="70" t="s">
        <v>328</v>
      </c>
      <c r="G42" s="37"/>
    </row>
    <row r="43" ht="18" customHeight="1" spans="1:7">
      <c r="A43" s="32" t="s">
        <v>770</v>
      </c>
      <c r="B43" s="32" t="s">
        <v>765</v>
      </c>
      <c r="C43" s="32">
        <v>1</v>
      </c>
      <c r="D43" s="32" t="s">
        <v>771</v>
      </c>
      <c r="E43" s="67">
        <v>1.29</v>
      </c>
      <c r="F43" s="68" t="s">
        <v>328</v>
      </c>
      <c r="G43" s="32"/>
    </row>
    <row r="44" ht="18" customHeight="1" spans="1:7">
      <c r="A44" s="37" t="s">
        <v>772</v>
      </c>
      <c r="B44" s="37" t="s">
        <v>773</v>
      </c>
      <c r="C44" s="37">
        <v>1</v>
      </c>
      <c r="D44" s="37" t="s">
        <v>774</v>
      </c>
      <c r="E44" s="69">
        <v>8.99</v>
      </c>
      <c r="F44" s="71" t="s">
        <v>329</v>
      </c>
      <c r="G44" s="37"/>
    </row>
    <row r="45" ht="18" customHeight="1" spans="1:7">
      <c r="A45" s="32" t="s">
        <v>775</v>
      </c>
      <c r="B45" s="32" t="s">
        <v>776</v>
      </c>
      <c r="C45" s="32">
        <v>1</v>
      </c>
      <c r="D45" s="32" t="s">
        <v>777</v>
      </c>
      <c r="E45" s="67">
        <v>34.99</v>
      </c>
      <c r="F45" s="68" t="s">
        <v>328</v>
      </c>
      <c r="G45" s="32"/>
    </row>
    <row r="46" ht="24" customHeight="1" spans="1:7">
      <c r="A46" s="72" t="s">
        <v>778</v>
      </c>
      <c r="B46" s="72"/>
      <c r="C46" s="72"/>
      <c r="D46" s="72"/>
      <c r="E46" s="73">
        <f>SUM(E31:E45)</f>
        <v>112.15</v>
      </c>
    </row>
  </sheetData>
  <mergeCells count="5">
    <mergeCell ref="A1:I1"/>
    <mergeCell ref="A3:I3"/>
    <mergeCell ref="A22:I22"/>
    <mergeCell ref="A29:I29"/>
    <mergeCell ref="A46:D46"/>
  </mergeCells>
  <dataValidations count="1">
    <dataValidation type="list" showInputMessage="1" showErrorMessage="1" sqref="B5:B100">
      <formula1>"Breakfast,Lunch,Dinner,Snack,Dessert"</formula1>
    </dataValidation>
  </dataValidations>
  <pageMargins left="0.25" right="0.25" top="0.4" bottom="0.4" header="0.511811023622047" footer="0.511811023622047"/>
  <pageSetup paperSize="1" fitToHeight="0" orientation="landscape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C3AED"/>
    <pageSetUpPr fitToPage="1"/>
  </sheetPr>
  <dimension ref="A1:H23"/>
  <sheetViews>
    <sheetView showGridLines="0" tabSelected="1" zoomScale="90" zoomScaleNormal="90" workbookViewId="0">
      <pane ySplit="4" topLeftCell="A5" activePane="bottomLeft" state="frozen"/>
      <selection/>
      <selection pane="bottomLeft" activeCell="A1" sqref="A1:H1"/>
    </sheetView>
  </sheetViews>
  <sheetFormatPr defaultColWidth="8.68181818181818" defaultRowHeight="14.5" outlineLevelCol="7"/>
  <cols>
    <col min="1" max="1" width="24" customWidth="1"/>
    <col min="2" max="8" width="13" customWidth="1"/>
  </cols>
  <sheetData>
    <row r="1" ht="31.5" customHeight="1" spans="1:8">
      <c r="A1" s="21" t="s">
        <v>779</v>
      </c>
      <c r="B1" s="21"/>
      <c r="C1" s="21"/>
      <c r="D1" s="21"/>
      <c r="E1" s="21"/>
      <c r="F1" s="21"/>
      <c r="G1" s="21"/>
      <c r="H1" s="21"/>
    </row>
    <row r="2" ht="15.75" customHeight="1" spans="1:8">
      <c r="A2" s="22" t="s">
        <v>780</v>
      </c>
      <c r="B2" s="22"/>
      <c r="C2" s="22"/>
      <c r="D2" s="22"/>
      <c r="E2" s="22"/>
      <c r="F2" s="22"/>
      <c r="G2" s="22"/>
      <c r="H2" s="22"/>
    </row>
    <row r="4" ht="21.75" customHeight="1" spans="1:8">
      <c r="A4" s="23" t="s">
        <v>781</v>
      </c>
      <c r="B4" s="23"/>
      <c r="C4" s="23"/>
      <c r="D4" s="23"/>
      <c r="E4" s="23"/>
      <c r="F4" s="23"/>
      <c r="G4" s="23"/>
      <c r="H4" s="23"/>
    </row>
    <row r="5" spans="1:8">
      <c r="A5" s="24" t="s">
        <v>681</v>
      </c>
      <c r="B5" s="25" t="s">
        <v>782</v>
      </c>
      <c r="C5" s="26" t="s">
        <v>783</v>
      </c>
      <c r="D5" s="27" t="s">
        <v>313</v>
      </c>
      <c r="E5" s="28" t="s">
        <v>784</v>
      </c>
    </row>
    <row r="6" ht="19.5" customHeight="1" spans="1:8">
      <c r="A6" s="29" t="s">
        <v>785</v>
      </c>
      <c r="B6" s="30">
        <f>IFERROR(COUNTIF(HABITS!D4:AH18,"✓")/(15*31),0)</f>
        <v>0.69247311827957</v>
      </c>
      <c r="C6" s="31">
        <v>0.8</v>
      </c>
      <c r="D6" s="32" t="str">
        <f t="shared" ref="D6:D13" si="0">IF(B6&gt;=C6,"✅ On Target","⚠️ Below")</f>
        <v>⚠️ Below</v>
      </c>
      <c r="E6" s="33">
        <f t="shared" ref="E6:E13" si="1">IFERROR(B6-C6,0)</f>
        <v>-0.10752688172043</v>
      </c>
    </row>
    <row r="7" ht="19.5" customHeight="1" spans="1:8">
      <c r="A7" s="34" t="s">
        <v>786</v>
      </c>
      <c r="B7" s="35">
        <f>IFERROR(AVERAGE(GOALS!F5:F16),0)</f>
        <v>0.4875</v>
      </c>
      <c r="C7" s="36">
        <v>0.7</v>
      </c>
      <c r="D7" s="37" t="str">
        <f t="shared" si="0"/>
        <v>⚠️ Below</v>
      </c>
      <c r="E7" s="38">
        <f t="shared" si="1"/>
        <v>-0.2125</v>
      </c>
    </row>
    <row r="8" ht="19.5" customHeight="1" spans="1:8">
      <c r="A8" s="29" t="s">
        <v>787</v>
      </c>
      <c r="B8" s="30">
        <f>IFERROR(COUNTIF(TASKS!F5:F24,"Completed")/COUNTA(TASKS!F5:F24),0)</f>
        <v>0.2</v>
      </c>
      <c r="C8" s="31">
        <v>0.5</v>
      </c>
      <c r="D8" s="32" t="str">
        <f t="shared" si="0"/>
        <v>⚠️ Below</v>
      </c>
      <c r="E8" s="33">
        <f t="shared" si="1"/>
        <v>-0.3</v>
      </c>
    </row>
    <row r="9" ht="19.5" customHeight="1" spans="1:8">
      <c r="A9" s="34" t="s">
        <v>788</v>
      </c>
      <c r="B9" s="35">
        <f>IFERROR((SUM(INCOME!E4:E18)-SUM(EXPENSES!D4:D28))/SUM(INCOME!E4:E18),0)</f>
        <v>0.803071684302649</v>
      </c>
      <c r="C9" s="36">
        <v>0.2</v>
      </c>
      <c r="D9" s="37" t="str">
        <f t="shared" si="0"/>
        <v>✅ On Target</v>
      </c>
      <c r="E9" s="38">
        <f t="shared" si="1"/>
        <v>0.603071684302649</v>
      </c>
    </row>
    <row r="10" ht="19.5" customHeight="1" spans="1:8">
      <c r="A10" s="29" t="s">
        <v>789</v>
      </c>
      <c r="B10" s="30">
        <f>IFERROR(1-SUMIF(BUDGET!G5:G18,"⚠️ Over Budget",BUDGET!F5:F18)/SUM(BUDGET!F5:F18),0.88)</f>
        <v>0.941545882441676</v>
      </c>
      <c r="C10" s="31">
        <v>0.9</v>
      </c>
      <c r="D10" s="32" t="str">
        <f t="shared" si="0"/>
        <v>✅ On Target</v>
      </c>
      <c r="E10" s="33">
        <f t="shared" si="1"/>
        <v>0.041545882441676</v>
      </c>
    </row>
    <row r="11" ht="19.5" customHeight="1" spans="1:8">
      <c r="A11" s="34" t="s">
        <v>790</v>
      </c>
      <c r="B11" s="39">
        <f>IFERROR(AVERAGE(HEALTH!I5:I24),0)</f>
        <v>8.15</v>
      </c>
      <c r="C11" s="40">
        <v>8</v>
      </c>
      <c r="D11" s="37" t="str">
        <f t="shared" si="0"/>
        <v>✅ On Target</v>
      </c>
      <c r="E11" s="41">
        <f t="shared" si="1"/>
        <v>0.15</v>
      </c>
    </row>
    <row r="12" ht="19.5" customHeight="1" spans="1:8">
      <c r="A12" s="29" t="s">
        <v>791</v>
      </c>
      <c r="B12" s="42">
        <f>IFERROR(AVERAGE(HEALTH!H5:H24),0)</f>
        <v>7.675</v>
      </c>
      <c r="C12" s="43">
        <v>8</v>
      </c>
      <c r="D12" s="32" t="str">
        <f t="shared" si="0"/>
        <v>⚠️ Below</v>
      </c>
      <c r="E12" s="44">
        <f t="shared" si="1"/>
        <v>-0.325</v>
      </c>
    </row>
    <row r="13" ht="19.5" customHeight="1" spans="1:8">
      <c r="A13" s="34" t="s">
        <v>792</v>
      </c>
      <c r="B13" s="45">
        <f>IFERROR(COUNTIF(HEALTH!F5:F24,"&gt;0"),0)</f>
        <v>16</v>
      </c>
      <c r="C13" s="46">
        <v>20</v>
      </c>
      <c r="D13" s="37" t="str">
        <f t="shared" si="0"/>
        <v>⚠️ Below</v>
      </c>
      <c r="E13" s="47">
        <f t="shared" si="1"/>
        <v>-4</v>
      </c>
    </row>
    <row r="16" ht="21.75" customHeight="1" spans="1:8">
      <c r="A16" s="12" t="s">
        <v>793</v>
      </c>
      <c r="B16" s="12"/>
      <c r="C16" s="12"/>
      <c r="D16" s="12"/>
      <c r="E16" s="12"/>
      <c r="F16" s="12"/>
      <c r="G16" s="12"/>
      <c r="H16" s="12"/>
    </row>
    <row r="17" spans="1:7">
      <c r="A17" s="24" t="s">
        <v>171</v>
      </c>
      <c r="B17" s="48" t="s">
        <v>794</v>
      </c>
      <c r="C17" s="27" t="s">
        <v>795</v>
      </c>
      <c r="D17" s="49" t="s">
        <v>796</v>
      </c>
      <c r="E17" s="50" t="s">
        <v>160</v>
      </c>
      <c r="F17" s="51" t="s">
        <v>797</v>
      </c>
      <c r="G17" s="26" t="s">
        <v>798</v>
      </c>
    </row>
    <row r="18" ht="18" customHeight="1" spans="1:7">
      <c r="A18" s="29" t="s">
        <v>175</v>
      </c>
      <c r="B18" s="31">
        <v>0.72</v>
      </c>
      <c r="C18" s="52">
        <v>0.45</v>
      </c>
      <c r="D18" s="52">
        <v>0.4</v>
      </c>
      <c r="E18" s="52">
        <v>0.18</v>
      </c>
      <c r="F18" s="53">
        <v>7.8</v>
      </c>
      <c r="G18" s="54">
        <v>0.91</v>
      </c>
    </row>
    <row r="19" ht="18" customHeight="1" spans="1:7">
      <c r="A19" s="34" t="s">
        <v>176</v>
      </c>
      <c r="B19" s="55">
        <v>0.75</v>
      </c>
      <c r="C19" s="36">
        <v>0.52</v>
      </c>
      <c r="D19" s="56">
        <v>0.45</v>
      </c>
      <c r="E19" s="56">
        <v>0.2</v>
      </c>
      <c r="F19" s="55">
        <v>7.5</v>
      </c>
      <c r="G19" s="57">
        <v>0.88</v>
      </c>
    </row>
    <row r="20" ht="18" customHeight="1" spans="1:7">
      <c r="A20" s="29" t="s">
        <v>177</v>
      </c>
      <c r="B20" s="53">
        <v>0.78</v>
      </c>
      <c r="C20" s="31">
        <v>0.58</v>
      </c>
      <c r="D20" s="31">
        <v>0.5</v>
      </c>
      <c r="E20" s="52">
        <v>0.22</v>
      </c>
      <c r="F20" s="53">
        <v>8</v>
      </c>
      <c r="G20" s="54">
        <v>0.92</v>
      </c>
    </row>
    <row r="21" ht="18" customHeight="1" spans="1:7">
      <c r="A21" s="34" t="s">
        <v>178</v>
      </c>
      <c r="B21" s="55">
        <v>0.8</v>
      </c>
      <c r="C21" s="36">
        <v>0.63</v>
      </c>
      <c r="D21" s="36">
        <v>0.55</v>
      </c>
      <c r="E21" s="56">
        <v>0.21</v>
      </c>
      <c r="F21" s="55">
        <v>7.9</v>
      </c>
      <c r="G21" s="57">
        <v>0.89</v>
      </c>
    </row>
    <row r="22" ht="18" customHeight="1" spans="1:7">
      <c r="A22" s="29" t="s">
        <v>179</v>
      </c>
      <c r="B22" s="53">
        <v>0.82</v>
      </c>
      <c r="C22" s="31">
        <v>0.68</v>
      </c>
      <c r="D22" s="31">
        <v>0.6</v>
      </c>
      <c r="E22" s="52">
        <v>0.23</v>
      </c>
      <c r="F22" s="53">
        <v>8.2</v>
      </c>
      <c r="G22" s="54">
        <v>0.93</v>
      </c>
    </row>
    <row r="23" ht="18" customHeight="1" spans="1:7">
      <c r="A23" s="34" t="s">
        <v>180</v>
      </c>
      <c r="B23" s="55">
        <v>0.79</v>
      </c>
      <c r="C23" s="36">
        <v>0.72</v>
      </c>
      <c r="D23" s="36">
        <v>0.65</v>
      </c>
      <c r="E23" s="56">
        <v>0.25</v>
      </c>
      <c r="F23" s="55">
        <v>8.1</v>
      </c>
      <c r="G23" s="57">
        <v>0.9</v>
      </c>
    </row>
  </sheetData>
  <mergeCells count="4">
    <mergeCell ref="A1:H1"/>
    <mergeCell ref="A2:H2"/>
    <mergeCell ref="A4:H4"/>
    <mergeCell ref="A16:H16"/>
  </mergeCells>
  <pageMargins left="0.25" right="0.25" top="0.4" bottom="0.4" header="0.511811023622047" footer="0.511811023622047"/>
  <pageSetup paperSize="1" fitToHeight="0" orientation="landscape" horizontalDpi="300" verticalDpi="300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4748B"/>
    <pageSetUpPr fitToPage="1"/>
  </sheetPr>
  <dimension ref="A1:D49"/>
  <sheetViews>
    <sheetView showGridLines="0" zoomScale="90" zoomScaleNormal="90" workbookViewId="0">
      <selection activeCell="A1" sqref="A1:D1"/>
    </sheetView>
  </sheetViews>
  <sheetFormatPr defaultColWidth="8.68181818181818" defaultRowHeight="14.5" outlineLevelCol="3"/>
  <cols>
    <col min="1" max="1" width="4" customWidth="1"/>
    <col min="2" max="2" width="8" customWidth="1"/>
    <col min="3" max="3" width="28" customWidth="1"/>
    <col min="4" max="4" width="52" customWidth="1"/>
  </cols>
  <sheetData>
    <row r="1" ht="31.5" customHeight="1" spans="1:4">
      <c r="A1" s="1" t="s">
        <v>799</v>
      </c>
      <c r="B1" s="1"/>
      <c r="C1" s="1"/>
      <c r="D1" s="1"/>
    </row>
    <row r="3" ht="21.75" customHeight="1" spans="1:4">
      <c r="A3" s="2" t="s">
        <v>800</v>
      </c>
      <c r="B3" s="2"/>
      <c r="C3" s="2"/>
      <c r="D3" s="2"/>
    </row>
    <row r="4" ht="21.75" customHeight="1" spans="1:4">
      <c r="B4" s="3"/>
      <c r="C4" s="4" t="s">
        <v>801</v>
      </c>
      <c r="D4" s="5" t="s">
        <v>802</v>
      </c>
    </row>
    <row r="5" ht="21.75" customHeight="1" spans="1:4">
      <c r="B5" s="3"/>
      <c r="C5" s="6" t="s">
        <v>803</v>
      </c>
      <c r="D5" s="7" t="s">
        <v>804</v>
      </c>
    </row>
    <row r="6" ht="21.75" customHeight="1" spans="1:4">
      <c r="B6" s="3"/>
      <c r="C6" s="4" t="s">
        <v>805</v>
      </c>
      <c r="D6" s="5" t="s">
        <v>806</v>
      </c>
    </row>
    <row r="7" ht="21.75" customHeight="1" spans="1:4">
      <c r="B7" s="3"/>
      <c r="C7" s="6" t="s">
        <v>807</v>
      </c>
      <c r="D7" s="7" t="s">
        <v>808</v>
      </c>
    </row>
    <row r="8" ht="21.75" customHeight="1" spans="1:4">
      <c r="B8" s="3"/>
      <c r="C8" s="4" t="s">
        <v>809</v>
      </c>
      <c r="D8" s="5" t="s">
        <v>810</v>
      </c>
    </row>
    <row r="10" ht="21.75" customHeight="1" spans="1:4">
      <c r="A10" s="8" t="s">
        <v>811</v>
      </c>
      <c r="B10" s="8"/>
      <c r="C10" s="8"/>
      <c r="D10" s="8"/>
    </row>
    <row r="11" ht="21.75" customHeight="1" spans="1:4">
      <c r="B11" s="9"/>
      <c r="C11" s="10" t="s">
        <v>812</v>
      </c>
      <c r="D11" s="7" t="s">
        <v>813</v>
      </c>
    </row>
    <row r="12" ht="21.75" customHeight="1" spans="1:4">
      <c r="B12" s="9"/>
      <c r="C12" s="11" t="s">
        <v>814</v>
      </c>
      <c r="D12" s="5" t="s">
        <v>815</v>
      </c>
    </row>
    <row r="13" ht="21.75" customHeight="1" spans="1:4">
      <c r="B13" s="9"/>
      <c r="C13" s="10" t="s">
        <v>816</v>
      </c>
      <c r="D13" s="7" t="s">
        <v>817</v>
      </c>
    </row>
    <row r="14" ht="21.75" customHeight="1" spans="1:4">
      <c r="B14" s="9"/>
      <c r="C14" s="11" t="s">
        <v>109</v>
      </c>
      <c r="D14" s="5" t="s">
        <v>818</v>
      </c>
    </row>
    <row r="15" ht="21.75" customHeight="1" spans="1:4">
      <c r="B15" s="9"/>
      <c r="C15" s="10" t="s">
        <v>124</v>
      </c>
      <c r="D15" s="7" t="s">
        <v>819</v>
      </c>
    </row>
    <row r="17" ht="21.75" customHeight="1" spans="1:4">
      <c r="A17" s="12" t="s">
        <v>820</v>
      </c>
      <c r="B17" s="12"/>
      <c r="C17" s="12"/>
      <c r="D17" s="12"/>
    </row>
    <row r="18" ht="21.75" customHeight="1" spans="1:4">
      <c r="B18" s="13"/>
      <c r="C18" s="14" t="s">
        <v>821</v>
      </c>
      <c r="D18" s="5" t="s">
        <v>822</v>
      </c>
    </row>
    <row r="19" ht="21.75" customHeight="1" spans="1:4">
      <c r="B19" s="13"/>
      <c r="C19" s="15" t="s">
        <v>823</v>
      </c>
      <c r="D19" s="7" t="s">
        <v>824</v>
      </c>
    </row>
    <row r="20" ht="21.75" customHeight="1" spans="1:4">
      <c r="B20" s="13"/>
      <c r="C20" s="14" t="s">
        <v>825</v>
      </c>
      <c r="D20" s="5" t="s">
        <v>826</v>
      </c>
    </row>
    <row r="21" ht="21.75" customHeight="1" spans="1:4">
      <c r="B21" s="13"/>
      <c r="C21" s="15" t="s">
        <v>827</v>
      </c>
      <c r="D21" s="7" t="s">
        <v>828</v>
      </c>
    </row>
    <row r="22" ht="21.75" customHeight="1" spans="1:4">
      <c r="B22" s="13"/>
      <c r="C22" s="14" t="s">
        <v>829</v>
      </c>
      <c r="D22" s="5" t="s">
        <v>830</v>
      </c>
    </row>
    <row r="23" ht="21.75" customHeight="1" spans="1:4">
      <c r="B23" s="13"/>
      <c r="C23" s="15" t="s">
        <v>831</v>
      </c>
      <c r="D23" s="7" t="s">
        <v>832</v>
      </c>
    </row>
    <row r="24" ht="21.75" customHeight="1" spans="1:4">
      <c r="B24" s="13"/>
      <c r="C24" s="14" t="s">
        <v>833</v>
      </c>
      <c r="D24" s="5" t="s">
        <v>834</v>
      </c>
    </row>
    <row r="25" ht="21.75" customHeight="1" spans="1:4">
      <c r="B25" s="13"/>
      <c r="C25" s="15" t="s">
        <v>835</v>
      </c>
      <c r="D25" s="7" t="s">
        <v>836</v>
      </c>
    </row>
    <row r="26" ht="21.75" customHeight="1" spans="1:4">
      <c r="B26" s="13"/>
      <c r="C26" s="14" t="s">
        <v>837</v>
      </c>
      <c r="D26" s="5" t="s">
        <v>838</v>
      </c>
    </row>
    <row r="27" ht="21.75" customHeight="1" spans="1:4">
      <c r="B27" s="13"/>
      <c r="C27" s="15" t="s">
        <v>839</v>
      </c>
      <c r="D27" s="7" t="s">
        <v>840</v>
      </c>
    </row>
    <row r="28" ht="21.75" customHeight="1" spans="1:4">
      <c r="B28" s="13"/>
      <c r="C28" s="14" t="s">
        <v>841</v>
      </c>
      <c r="D28" s="5" t="s">
        <v>842</v>
      </c>
    </row>
    <row r="29" ht="21.75" customHeight="1" spans="1:4">
      <c r="B29" s="13"/>
      <c r="C29" s="15" t="s">
        <v>843</v>
      </c>
      <c r="D29" s="7" t="s">
        <v>844</v>
      </c>
    </row>
    <row r="30" ht="21.75" customHeight="1" spans="1:4">
      <c r="B30" s="13"/>
      <c r="C30" s="14" t="s">
        <v>845</v>
      </c>
      <c r="D30" s="5" t="s">
        <v>846</v>
      </c>
    </row>
    <row r="31" ht="21.75" customHeight="1" spans="1:4">
      <c r="B31" s="13"/>
      <c r="C31" s="15" t="s">
        <v>847</v>
      </c>
      <c r="D31" s="7" t="s">
        <v>848</v>
      </c>
    </row>
    <row r="32" ht="21.75" customHeight="1" spans="1:4">
      <c r="B32" s="13"/>
      <c r="C32" s="14" t="s">
        <v>849</v>
      </c>
      <c r="D32" s="5" t="s">
        <v>850</v>
      </c>
    </row>
    <row r="33" ht="21.75" customHeight="1" spans="1:4">
      <c r="B33" s="13"/>
      <c r="C33" s="15" t="s">
        <v>851</v>
      </c>
      <c r="D33" s="7" t="s">
        <v>852</v>
      </c>
    </row>
    <row r="34" ht="21.75" customHeight="1" spans="1:4">
      <c r="B34" s="13"/>
      <c r="C34" s="14" t="s">
        <v>853</v>
      </c>
      <c r="D34" s="5" t="s">
        <v>854</v>
      </c>
    </row>
    <row r="35" ht="21.75" customHeight="1" spans="1:4">
      <c r="B35" s="13"/>
      <c r="C35" s="15" t="s">
        <v>855</v>
      </c>
      <c r="D35" s="7" t="s">
        <v>856</v>
      </c>
    </row>
    <row r="36" ht="21.75" customHeight="1" spans="1:4">
      <c r="B36" s="13"/>
      <c r="C36" s="14" t="s">
        <v>857</v>
      </c>
      <c r="D36" s="5" t="s">
        <v>858</v>
      </c>
    </row>
    <row r="37" ht="21.75" customHeight="1" spans="1:4">
      <c r="B37" s="13"/>
      <c r="C37" s="15" t="s">
        <v>859</v>
      </c>
      <c r="D37" s="7" t="s">
        <v>860</v>
      </c>
    </row>
    <row r="39" ht="21.75" customHeight="1" spans="1:4">
      <c r="A39" s="16" t="s">
        <v>861</v>
      </c>
      <c r="B39" s="16"/>
      <c r="C39" s="16"/>
      <c r="D39" s="16"/>
    </row>
    <row r="40" ht="21.75" customHeight="1" spans="1:4">
      <c r="B40" s="17"/>
      <c r="C40" s="18" t="s">
        <v>862</v>
      </c>
      <c r="D40" s="5" t="s">
        <v>863</v>
      </c>
    </row>
    <row r="41" ht="21.75" customHeight="1" spans="1:4">
      <c r="B41" s="17"/>
      <c r="C41" s="19" t="s">
        <v>864</v>
      </c>
      <c r="D41" s="7" t="s">
        <v>865</v>
      </c>
    </row>
    <row r="42" ht="21.75" customHeight="1" spans="1:4">
      <c r="B42" s="17"/>
      <c r="C42" s="18" t="s">
        <v>866</v>
      </c>
      <c r="D42" s="5" t="s">
        <v>867</v>
      </c>
    </row>
    <row r="43" ht="21.75" customHeight="1" spans="1:4">
      <c r="B43" s="17"/>
      <c r="C43" s="19" t="s">
        <v>868</v>
      </c>
      <c r="D43" s="7" t="s">
        <v>869</v>
      </c>
    </row>
    <row r="44" ht="21.75" customHeight="1" spans="1:4">
      <c r="B44" s="17"/>
      <c r="C44" s="18" t="s">
        <v>870</v>
      </c>
      <c r="D44" s="5" t="s">
        <v>871</v>
      </c>
    </row>
    <row r="45" ht="21.75" customHeight="1" spans="1:4">
      <c r="B45" s="17"/>
      <c r="C45" s="19" t="s">
        <v>872</v>
      </c>
      <c r="D45" s="7" t="s">
        <v>873</v>
      </c>
    </row>
    <row r="46" ht="21.75" customHeight="1" spans="1:4">
      <c r="B46" s="17"/>
      <c r="C46" s="18" t="s">
        <v>874</v>
      </c>
      <c r="D46" s="5" t="s">
        <v>875</v>
      </c>
    </row>
    <row r="47" ht="21.75" customHeight="1" spans="1:4">
      <c r="B47" s="17"/>
      <c r="C47" s="19" t="s">
        <v>876</v>
      </c>
      <c r="D47" s="7" t="s">
        <v>877</v>
      </c>
    </row>
    <row r="49" ht="19.5" customHeight="1" spans="1:1">
      <c r="A49" s="20" t="s">
        <v>878</v>
      </c>
    </row>
  </sheetData>
  <mergeCells count="5">
    <mergeCell ref="A1:D1"/>
    <mergeCell ref="A3:D3"/>
    <mergeCell ref="A10:D10"/>
    <mergeCell ref="A17:D17"/>
    <mergeCell ref="A39:D39"/>
  </mergeCells>
  <pageMargins left="0.25" right="0.25" top="0.4" bottom="0.4" header="0.511811023622047" footer="0.511811023622047"/>
  <pageSetup paperSize="1" fitToHeight="0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🔐 START</vt:lpstr>
      <vt:lpstr>🏠 HOME</vt:lpstr>
      <vt:lpstr>SETUP</vt:lpstr>
      <vt:lpstr>DASHBOARD</vt:lpstr>
      <vt:lpstr>INCOME</vt:lpstr>
      <vt:lpstr>EXPENSES</vt:lpstr>
      <vt:lpstr>BUDGET</vt:lpstr>
      <vt:lpstr>RECURRING</vt:lpstr>
      <vt:lpstr>WEALTH</vt:lpstr>
      <vt:lpstr>INVESTMENTS</vt:lpstr>
      <vt:lpstr>NET WORTH</vt:lpstr>
      <vt:lpstr>GOALS</vt:lpstr>
      <vt:lpstr>HABITS</vt:lpstr>
      <vt:lpstr>CALENDAR</vt:lpstr>
      <vt:lpstr>WEEKLY PLAN</vt:lpstr>
      <vt:lpstr>TASKS</vt:lpstr>
      <vt:lpstr>PRIORITY</vt:lpstr>
      <vt:lpstr>HEALTH</vt:lpstr>
      <vt:lpstr>MEALS</vt:lpstr>
      <vt:lpstr>ANALYTICS</vt:lpstr>
      <vt:lpstr>USER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WPS_1778083419</cp:lastModifiedBy>
  <cp:revision>1</cp:revision>
  <dcterms:created xsi:type="dcterms:W3CDTF">2026-06-14T11:36:00Z</dcterms:created>
  <dcterms:modified xsi:type="dcterms:W3CDTF">2026-07-07T22:30:27Z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892489D553EE401792D4FC9A51B63674_13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